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/Desktop/My papers/Manuscripts/2025 - Induced tannin/Submission - Plant Diversity - 0209/Data &amp; Code/"/>
    </mc:Choice>
  </mc:AlternateContent>
  <xr:revisionPtr revIDLastSave="0" documentId="13_ncr:1_{29F6029F-D079-7B4D-8527-5F3C6E6B3181}" xr6:coauthVersionLast="47" xr6:coauthVersionMax="47" xr10:uidLastSave="{00000000-0000-0000-0000-000000000000}"/>
  <bookViews>
    <workbookView xWindow="0" yWindow="600" windowWidth="38400" windowHeight="19160" xr2:uid="{C1D4F1E9-ACA2-F041-825B-15039DEBED81}"/>
  </bookViews>
  <sheets>
    <sheet name="Sheet1" sheetId="1" r:id="rId1"/>
  </sheets>
  <definedNames>
    <definedName name="_xlnm._FilterDatabase" localSheetId="0" hidden="1">Sheet1!$Y$1:$Y$514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0" i="1" l="1"/>
  <c r="O159" i="1"/>
  <c r="O158" i="1"/>
  <c r="O157" i="1"/>
  <c r="O156" i="1"/>
  <c r="O155" i="1"/>
  <c r="I494" i="1"/>
  <c r="M494" i="1"/>
  <c r="O494" i="1"/>
  <c r="I495" i="1"/>
  <c r="M495" i="1"/>
  <c r="O495" i="1"/>
  <c r="I496" i="1"/>
  <c r="M496" i="1"/>
  <c r="O496" i="1"/>
  <c r="I497" i="1"/>
  <c r="M497" i="1"/>
  <c r="O497" i="1"/>
  <c r="I498" i="1"/>
  <c r="M498" i="1"/>
  <c r="O498" i="1"/>
  <c r="I499" i="1"/>
  <c r="M499" i="1"/>
  <c r="O499" i="1"/>
  <c r="I500" i="1"/>
  <c r="M500" i="1"/>
  <c r="O500" i="1"/>
  <c r="I501" i="1"/>
  <c r="M501" i="1"/>
  <c r="O501" i="1"/>
  <c r="J502" i="1"/>
  <c r="N502" i="1"/>
  <c r="O502" i="1"/>
  <c r="P502" i="1"/>
  <c r="J503" i="1"/>
  <c r="N503" i="1"/>
  <c r="O503" i="1"/>
  <c r="P503" i="1"/>
  <c r="J504" i="1"/>
  <c r="N504" i="1"/>
  <c r="O504" i="1"/>
  <c r="P504" i="1"/>
  <c r="J505" i="1"/>
  <c r="N505" i="1"/>
  <c r="O505" i="1"/>
  <c r="P505" i="1"/>
  <c r="J506" i="1"/>
  <c r="N506" i="1"/>
  <c r="O506" i="1"/>
  <c r="P506" i="1"/>
  <c r="J507" i="1"/>
  <c r="N507" i="1"/>
  <c r="O507" i="1"/>
  <c r="P507" i="1"/>
  <c r="J508" i="1"/>
  <c r="N508" i="1"/>
  <c r="O508" i="1"/>
  <c r="P508" i="1"/>
  <c r="J509" i="1"/>
  <c r="N509" i="1"/>
  <c r="O509" i="1"/>
  <c r="P509" i="1"/>
  <c r="I510" i="1"/>
  <c r="M510" i="1"/>
  <c r="O510" i="1"/>
  <c r="I511" i="1"/>
  <c r="M511" i="1"/>
  <c r="O511" i="1"/>
  <c r="I512" i="1"/>
  <c r="M512" i="1"/>
  <c r="O512" i="1"/>
  <c r="I513" i="1"/>
  <c r="M513" i="1"/>
  <c r="O513" i="1"/>
  <c r="I514" i="1"/>
  <c r="M514" i="1"/>
  <c r="O514" i="1"/>
  <c r="I484" i="1"/>
  <c r="M484" i="1"/>
  <c r="O484" i="1"/>
  <c r="I485" i="1"/>
  <c r="M485" i="1"/>
  <c r="O485" i="1"/>
  <c r="I486" i="1"/>
  <c r="M486" i="1"/>
  <c r="O486" i="1"/>
  <c r="I487" i="1"/>
  <c r="M487" i="1"/>
  <c r="O487" i="1"/>
  <c r="I488" i="1"/>
  <c r="M488" i="1"/>
  <c r="O488" i="1"/>
  <c r="I489" i="1"/>
  <c r="M489" i="1"/>
  <c r="O489" i="1"/>
  <c r="I490" i="1"/>
  <c r="M490" i="1"/>
  <c r="O490" i="1"/>
  <c r="I491" i="1"/>
  <c r="M491" i="1"/>
  <c r="O491" i="1"/>
  <c r="I492" i="1"/>
  <c r="M492" i="1"/>
  <c r="O492" i="1"/>
  <c r="I493" i="1"/>
  <c r="M493" i="1"/>
  <c r="O493" i="1"/>
  <c r="I482" i="1"/>
  <c r="M482" i="1"/>
  <c r="O482" i="1"/>
  <c r="I483" i="1"/>
  <c r="M483" i="1"/>
  <c r="O483" i="1"/>
  <c r="O298" i="1"/>
  <c r="O297" i="1"/>
  <c r="O438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O131" i="1"/>
  <c r="O130" i="1"/>
  <c r="O129" i="1"/>
  <c r="O128" i="1"/>
  <c r="M131" i="1"/>
  <c r="M130" i="1"/>
  <c r="M129" i="1"/>
  <c r="M128" i="1"/>
  <c r="I131" i="1"/>
  <c r="I130" i="1"/>
  <c r="I129" i="1"/>
  <c r="I128" i="1"/>
  <c r="O96" i="1"/>
  <c r="O95" i="1"/>
  <c r="O94" i="1"/>
  <c r="M96" i="1"/>
  <c r="M95" i="1"/>
  <c r="M94" i="1"/>
  <c r="I96" i="1"/>
  <c r="I95" i="1"/>
  <c r="I94" i="1"/>
  <c r="I297" i="1"/>
  <c r="M297" i="1"/>
  <c r="I222" i="1"/>
  <c r="M222" i="1"/>
  <c r="O222" i="1"/>
  <c r="I223" i="1"/>
  <c r="M223" i="1"/>
  <c r="O223" i="1"/>
  <c r="I224" i="1"/>
  <c r="M224" i="1"/>
  <c r="O224" i="1"/>
  <c r="I225" i="1"/>
  <c r="M225" i="1"/>
  <c r="O225" i="1"/>
  <c r="I226" i="1"/>
  <c r="M226" i="1"/>
  <c r="O226" i="1"/>
  <c r="I227" i="1"/>
  <c r="M227" i="1"/>
  <c r="O227" i="1"/>
  <c r="P480" i="1"/>
  <c r="O480" i="1"/>
  <c r="O481" i="1"/>
  <c r="P481" i="1"/>
  <c r="N480" i="1"/>
  <c r="J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J471" i="1"/>
  <c r="N471" i="1"/>
  <c r="N470" i="1"/>
  <c r="J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O457" i="1"/>
  <c r="O456" i="1"/>
  <c r="O455" i="1"/>
  <c r="O454" i="1"/>
  <c r="O453" i="1"/>
  <c r="O452" i="1"/>
  <c r="O451" i="1"/>
  <c r="O450" i="1"/>
  <c r="O449" i="1"/>
  <c r="O448" i="1"/>
  <c r="M457" i="1"/>
  <c r="M456" i="1"/>
  <c r="M455" i="1"/>
  <c r="M454" i="1"/>
  <c r="M453" i="1"/>
  <c r="M452" i="1"/>
  <c r="M451" i="1"/>
  <c r="M450" i="1"/>
  <c r="M449" i="1"/>
  <c r="M448" i="1"/>
  <c r="I457" i="1"/>
  <c r="I456" i="1"/>
  <c r="I455" i="1"/>
  <c r="I454" i="1"/>
  <c r="I453" i="1"/>
  <c r="I452" i="1"/>
  <c r="I451" i="1"/>
  <c r="I450" i="1"/>
  <c r="I449" i="1"/>
  <c r="I448" i="1"/>
  <c r="O447" i="1"/>
  <c r="O446" i="1"/>
  <c r="O445" i="1"/>
  <c r="O444" i="1"/>
  <c r="O443" i="1"/>
  <c r="O442" i="1"/>
  <c r="O441" i="1"/>
  <c r="O440" i="1"/>
  <c r="M447" i="1"/>
  <c r="M446" i="1"/>
  <c r="M445" i="1"/>
  <c r="M444" i="1"/>
  <c r="M443" i="1"/>
  <c r="M442" i="1"/>
  <c r="M441" i="1"/>
  <c r="M440" i="1"/>
  <c r="I447" i="1"/>
  <c r="I446" i="1"/>
  <c r="I445" i="1"/>
  <c r="I444" i="1"/>
  <c r="I443" i="1"/>
  <c r="I442" i="1"/>
  <c r="I441" i="1"/>
  <c r="I440" i="1"/>
  <c r="I439" i="1"/>
  <c r="O439" i="1"/>
  <c r="O437" i="1"/>
  <c r="O436" i="1"/>
  <c r="O435" i="1"/>
  <c r="O434" i="1"/>
  <c r="O433" i="1"/>
  <c r="O432" i="1"/>
  <c r="O431" i="1"/>
  <c r="M439" i="1"/>
  <c r="M438" i="1"/>
  <c r="M437" i="1"/>
  <c r="M436" i="1"/>
  <c r="M435" i="1"/>
  <c r="M434" i="1"/>
  <c r="M433" i="1"/>
  <c r="M432" i="1"/>
  <c r="M431" i="1"/>
  <c r="I432" i="1"/>
  <c r="I438" i="1"/>
  <c r="I437" i="1"/>
  <c r="I436" i="1"/>
  <c r="I435" i="1"/>
  <c r="I434" i="1"/>
  <c r="I433" i="1"/>
  <c r="I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O394" i="1"/>
  <c r="O393" i="1"/>
  <c r="O392" i="1"/>
  <c r="O391" i="1"/>
  <c r="O390" i="1"/>
  <c r="O389" i="1"/>
  <c r="O388" i="1"/>
  <c r="O387" i="1"/>
  <c r="O386" i="1"/>
  <c r="O385" i="1"/>
  <c r="I394" i="1"/>
  <c r="I393" i="1"/>
  <c r="I392" i="1"/>
  <c r="I391" i="1"/>
  <c r="I390" i="1"/>
  <c r="I389" i="1"/>
  <c r="I388" i="1"/>
  <c r="I387" i="1"/>
  <c r="I386" i="1"/>
  <c r="I38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M372" i="1"/>
  <c r="M371" i="1"/>
  <c r="M370" i="1"/>
  <c r="M369" i="1"/>
  <c r="M368" i="1"/>
  <c r="M367" i="1"/>
  <c r="M366" i="1"/>
  <c r="M365" i="1"/>
  <c r="I372" i="1"/>
  <c r="I371" i="1"/>
  <c r="I370" i="1"/>
  <c r="I369" i="1"/>
  <c r="I368" i="1"/>
  <c r="I367" i="1"/>
  <c r="I366" i="1"/>
  <c r="I365" i="1"/>
  <c r="O364" i="1"/>
  <c r="O363" i="1"/>
  <c r="O362" i="1"/>
  <c r="M364" i="1"/>
  <c r="M363" i="1"/>
  <c r="M362" i="1"/>
  <c r="I364" i="1"/>
  <c r="I363" i="1"/>
  <c r="I362" i="1"/>
  <c r="I361" i="1"/>
  <c r="O361" i="1"/>
  <c r="O360" i="1"/>
  <c r="M361" i="1"/>
  <c r="M360" i="1"/>
  <c r="I360" i="1"/>
  <c r="O347" i="1"/>
  <c r="O346" i="1"/>
  <c r="I347" i="1"/>
  <c r="I346" i="1"/>
  <c r="M347" i="1"/>
  <c r="M346" i="1"/>
  <c r="O345" i="1"/>
  <c r="O344" i="1"/>
  <c r="M345" i="1"/>
  <c r="M344" i="1"/>
  <c r="I345" i="1"/>
  <c r="I344" i="1"/>
  <c r="O343" i="1"/>
  <c r="O342" i="1"/>
  <c r="O341" i="1"/>
  <c r="O340" i="1"/>
  <c r="I343" i="1"/>
  <c r="I342" i="1"/>
  <c r="M343" i="1"/>
  <c r="M342" i="1"/>
  <c r="I341" i="1"/>
  <c r="M341" i="1"/>
  <c r="M340" i="1"/>
  <c r="I340" i="1"/>
  <c r="O339" i="1"/>
  <c r="O338" i="1"/>
  <c r="O337" i="1"/>
  <c r="I339" i="1"/>
  <c r="M339" i="1"/>
  <c r="M338" i="1"/>
  <c r="M337" i="1"/>
  <c r="I338" i="1"/>
  <c r="I337" i="1"/>
  <c r="O336" i="1"/>
  <c r="O335" i="1"/>
  <c r="O334" i="1"/>
  <c r="O333" i="1"/>
  <c r="O332" i="1"/>
  <c r="O331" i="1"/>
  <c r="O330" i="1"/>
  <c r="O329" i="1"/>
  <c r="M336" i="1"/>
  <c r="M335" i="1"/>
  <c r="M334" i="1"/>
  <c r="M333" i="1"/>
  <c r="M332" i="1"/>
  <c r="M331" i="1"/>
  <c r="M330" i="1"/>
  <c r="M329" i="1"/>
  <c r="I336" i="1"/>
  <c r="I335" i="1"/>
  <c r="I334" i="1"/>
  <c r="I333" i="1"/>
  <c r="I332" i="1"/>
  <c r="I331" i="1"/>
  <c r="I330" i="1"/>
  <c r="I329" i="1"/>
  <c r="O328" i="1"/>
  <c r="O327" i="1"/>
  <c r="O326" i="1"/>
  <c r="O325" i="1"/>
  <c r="O324" i="1"/>
  <c r="M328" i="1"/>
  <c r="M327" i="1"/>
  <c r="M326" i="1"/>
  <c r="M325" i="1"/>
  <c r="M324" i="1"/>
  <c r="I328" i="1"/>
  <c r="I327" i="1"/>
  <c r="I326" i="1"/>
  <c r="I325" i="1"/>
  <c r="I324" i="1"/>
  <c r="O323" i="1"/>
  <c r="M323" i="1"/>
  <c r="I323" i="1"/>
  <c r="O322" i="1"/>
  <c r="O321" i="1"/>
  <c r="M322" i="1"/>
  <c r="M321" i="1"/>
  <c r="I322" i="1"/>
  <c r="I321" i="1"/>
  <c r="O320" i="1"/>
  <c r="O319" i="1"/>
  <c r="M320" i="1"/>
  <c r="M319" i="1"/>
  <c r="I320" i="1"/>
  <c r="I319" i="1"/>
  <c r="O318" i="1"/>
  <c r="M318" i="1"/>
  <c r="I318" i="1"/>
  <c r="O317" i="1"/>
  <c r="O316" i="1"/>
  <c r="M317" i="1"/>
  <c r="M316" i="1"/>
  <c r="I317" i="1"/>
  <c r="I316" i="1"/>
  <c r="O315" i="1"/>
  <c r="O314" i="1"/>
  <c r="O313" i="1"/>
  <c r="M315" i="1"/>
  <c r="M314" i="1"/>
  <c r="M313" i="1"/>
  <c r="I315" i="1"/>
  <c r="I314" i="1"/>
  <c r="I313" i="1"/>
  <c r="O312" i="1"/>
  <c r="O311" i="1"/>
  <c r="O310" i="1"/>
  <c r="O309" i="1"/>
  <c r="O308" i="1"/>
  <c r="O307" i="1"/>
  <c r="O306" i="1"/>
  <c r="O305" i="1"/>
  <c r="O304" i="1"/>
  <c r="O303" i="1"/>
  <c r="M312" i="1"/>
  <c r="M311" i="1"/>
  <c r="M310" i="1"/>
  <c r="M309" i="1"/>
  <c r="M308" i="1"/>
  <c r="M307" i="1"/>
  <c r="M306" i="1"/>
  <c r="M305" i="1"/>
  <c r="M304" i="1"/>
  <c r="M303" i="1"/>
  <c r="I312" i="1"/>
  <c r="I311" i="1"/>
  <c r="I310" i="1"/>
  <c r="I309" i="1"/>
  <c r="I308" i="1"/>
  <c r="I307" i="1"/>
  <c r="I306" i="1"/>
  <c r="I305" i="1"/>
  <c r="I304" i="1"/>
  <c r="I303" i="1"/>
  <c r="O302" i="1"/>
  <c r="O301" i="1"/>
  <c r="O300" i="1"/>
  <c r="O299" i="1"/>
  <c r="M302" i="1"/>
  <c r="M301" i="1"/>
  <c r="M300" i="1"/>
  <c r="M299" i="1"/>
  <c r="I302" i="1"/>
  <c r="I301" i="1"/>
  <c r="I300" i="1"/>
  <c r="I299" i="1"/>
  <c r="M298" i="1"/>
  <c r="O296" i="1"/>
  <c r="O295" i="1"/>
  <c r="O294" i="1"/>
  <c r="O293" i="1"/>
  <c r="O292" i="1"/>
  <c r="M296" i="1"/>
  <c r="M295" i="1"/>
  <c r="M294" i="1"/>
  <c r="M293" i="1"/>
  <c r="M292" i="1"/>
  <c r="I298" i="1"/>
  <c r="I296" i="1"/>
  <c r="I295" i="1"/>
  <c r="I294" i="1"/>
  <c r="I293" i="1"/>
  <c r="I292" i="1"/>
  <c r="J291" i="1"/>
  <c r="P501" i="1" l="1"/>
  <c r="P494" i="1"/>
  <c r="P490" i="1"/>
  <c r="P498" i="1"/>
  <c r="P297" i="1"/>
  <c r="P513" i="1"/>
  <c r="P496" i="1"/>
  <c r="P488" i="1"/>
  <c r="P493" i="1"/>
  <c r="P511" i="1"/>
  <c r="P482" i="1"/>
  <c r="P510" i="1"/>
  <c r="P491" i="1"/>
  <c r="P485" i="1"/>
  <c r="P499" i="1"/>
  <c r="P512" i="1"/>
  <c r="P487" i="1"/>
  <c r="P298" i="1"/>
  <c r="P483" i="1"/>
  <c r="P492" i="1"/>
  <c r="P489" i="1"/>
  <c r="P486" i="1"/>
  <c r="P500" i="1"/>
  <c r="P514" i="1"/>
  <c r="P495" i="1"/>
  <c r="P497" i="1"/>
  <c r="P484" i="1"/>
  <c r="P351" i="1"/>
  <c r="P352" i="1"/>
  <c r="P355" i="1"/>
  <c r="P353" i="1"/>
  <c r="P350" i="1"/>
  <c r="P356" i="1"/>
  <c r="P348" i="1"/>
  <c r="P358" i="1"/>
  <c r="P357" i="1"/>
  <c r="P359" i="1"/>
  <c r="P349" i="1"/>
  <c r="P354" i="1"/>
  <c r="P128" i="1"/>
  <c r="P130" i="1"/>
  <c r="P131" i="1"/>
  <c r="P129" i="1"/>
  <c r="P392" i="1"/>
  <c r="P94" i="1"/>
  <c r="P95" i="1"/>
  <c r="P96" i="1"/>
  <c r="P227" i="1"/>
  <c r="P223" i="1"/>
  <c r="P224" i="1"/>
  <c r="P226" i="1"/>
  <c r="P386" i="1"/>
  <c r="P222" i="1"/>
  <c r="P385" i="1"/>
  <c r="P225" i="1"/>
  <c r="P389" i="1"/>
  <c r="P460" i="1"/>
  <c r="P435" i="1"/>
  <c r="P387" i="1"/>
  <c r="P433" i="1"/>
  <c r="P380" i="1"/>
  <c r="P462" i="1"/>
  <c r="P439" i="1"/>
  <c r="P464" i="1"/>
  <c r="P465" i="1"/>
  <c r="P458" i="1"/>
  <c r="P466" i="1"/>
  <c r="P469" i="1"/>
  <c r="P461" i="1"/>
  <c r="P467" i="1"/>
  <c r="P468" i="1"/>
  <c r="P459" i="1"/>
  <c r="P463" i="1"/>
  <c r="P431" i="1"/>
  <c r="P444" i="1"/>
  <c r="P448" i="1"/>
  <c r="P438" i="1"/>
  <c r="P343" i="1"/>
  <c r="P437" i="1"/>
  <c r="P440" i="1"/>
  <c r="P442" i="1"/>
  <c r="P393" i="1"/>
  <c r="P449" i="1"/>
  <c r="P451" i="1"/>
  <c r="P452" i="1"/>
  <c r="P383" i="1"/>
  <c r="P453" i="1"/>
  <c r="P455" i="1"/>
  <c r="P434" i="1"/>
  <c r="P394" i="1"/>
  <c r="P450" i="1"/>
  <c r="P340" i="1"/>
  <c r="P454" i="1"/>
  <c r="P456" i="1"/>
  <c r="P361" i="1"/>
  <c r="P457" i="1"/>
  <c r="P365" i="1"/>
  <c r="P436" i="1"/>
  <c r="P432" i="1"/>
  <c r="P377" i="1"/>
  <c r="P341" i="1"/>
  <c r="P447" i="1"/>
  <c r="P441" i="1"/>
  <c r="P364" i="1"/>
  <c r="P391" i="1"/>
  <c r="P317" i="1"/>
  <c r="P333" i="1"/>
  <c r="P346" i="1"/>
  <c r="P334" i="1"/>
  <c r="P347" i="1"/>
  <c r="P367" i="1"/>
  <c r="P443" i="1"/>
  <c r="P445" i="1"/>
  <c r="P446" i="1"/>
  <c r="P390" i="1"/>
  <c r="P388" i="1"/>
  <c r="P374" i="1"/>
  <c r="P382" i="1"/>
  <c r="P332" i="1"/>
  <c r="P366" i="1"/>
  <c r="P373" i="1"/>
  <c r="P375" i="1"/>
  <c r="P376" i="1"/>
  <c r="P362" i="1"/>
  <c r="P363" i="1"/>
  <c r="P381" i="1"/>
  <c r="P368" i="1"/>
  <c r="P369" i="1"/>
  <c r="P370" i="1"/>
  <c r="P371" i="1"/>
  <c r="P372" i="1"/>
  <c r="P378" i="1"/>
  <c r="P379" i="1"/>
  <c r="P384" i="1"/>
  <c r="P360" i="1"/>
  <c r="P344" i="1"/>
  <c r="P345" i="1"/>
  <c r="P336" i="1"/>
  <c r="P342" i="1"/>
  <c r="P325" i="1"/>
  <c r="P326" i="1"/>
  <c r="P305" i="1"/>
  <c r="P335" i="1"/>
  <c r="P337" i="1"/>
  <c r="P339" i="1"/>
  <c r="P327" i="1"/>
  <c r="P303" i="1"/>
  <c r="P338" i="1"/>
  <c r="P319" i="1"/>
  <c r="P308" i="1"/>
  <c r="P304" i="1"/>
  <c r="P299" i="1"/>
  <c r="P328" i="1"/>
  <c r="P321" i="1"/>
  <c r="P310" i="1"/>
  <c r="P330" i="1"/>
  <c r="P324" i="1"/>
  <c r="P329" i="1"/>
  <c r="P331" i="1"/>
  <c r="P306" i="1"/>
  <c r="P309" i="1"/>
  <c r="P300" i="1"/>
  <c r="P311" i="1"/>
  <c r="P301" i="1"/>
  <c r="P307" i="1"/>
  <c r="P320" i="1"/>
  <c r="P323" i="1"/>
  <c r="P313" i="1"/>
  <c r="P314" i="1"/>
  <c r="P322" i="1"/>
  <c r="P316" i="1"/>
  <c r="P302" i="1"/>
  <c r="P312" i="1"/>
  <c r="P315" i="1"/>
  <c r="P318" i="1"/>
  <c r="P296" i="1"/>
  <c r="P292" i="1"/>
  <c r="P293" i="1"/>
  <c r="P295" i="1"/>
  <c r="P294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P255" i="1"/>
  <c r="O255" i="1"/>
  <c r="P254" i="1"/>
  <c r="O254" i="1"/>
  <c r="N255" i="1"/>
  <c r="N254" i="1"/>
  <c r="J255" i="1"/>
  <c r="J254" i="1"/>
  <c r="O253" i="1"/>
  <c r="P253" i="1"/>
  <c r="P252" i="1"/>
  <c r="P246" i="1"/>
  <c r="J253" i="1"/>
  <c r="N253" i="1"/>
  <c r="J252" i="1"/>
  <c r="N252" i="1"/>
  <c r="M251" i="1"/>
  <c r="M250" i="1"/>
  <c r="M249" i="1"/>
  <c r="I251" i="1"/>
  <c r="I250" i="1"/>
  <c r="O251" i="1"/>
  <c r="O250" i="1"/>
  <c r="O249" i="1"/>
  <c r="I249" i="1"/>
  <c r="M248" i="1"/>
  <c r="I248" i="1"/>
  <c r="O248" i="1"/>
  <c r="P6" i="1"/>
  <c r="J247" i="1"/>
  <c r="J246" i="1"/>
  <c r="J245" i="1"/>
  <c r="J244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64" i="1"/>
  <c r="J63" i="1"/>
  <c r="J62" i="1"/>
  <c r="J61" i="1"/>
  <c r="P247" i="1"/>
  <c r="P245" i="1"/>
  <c r="P244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23" i="1"/>
  <c r="P122" i="1"/>
  <c r="P121" i="1"/>
  <c r="P120" i="1"/>
  <c r="P119" i="1"/>
  <c r="P118" i="1"/>
  <c r="P64" i="1"/>
  <c r="P63" i="1"/>
  <c r="P62" i="1"/>
  <c r="P61" i="1"/>
  <c r="P52" i="1"/>
  <c r="P51" i="1"/>
  <c r="P50" i="1"/>
  <c r="P49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0" i="1"/>
  <c r="P9" i="1"/>
  <c r="P8" i="1"/>
  <c r="P7" i="1"/>
  <c r="P5" i="1"/>
  <c r="P4" i="1"/>
  <c r="P3" i="1"/>
  <c r="P2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247" i="1"/>
  <c r="N246" i="1"/>
  <c r="N245" i="1"/>
  <c r="N244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M45" i="1"/>
  <c r="M44" i="1"/>
  <c r="I45" i="1"/>
  <c r="I44" i="1"/>
  <c r="P249" i="1" l="1"/>
  <c r="P250" i="1"/>
  <c r="O252" i="1"/>
  <c r="P251" i="1"/>
  <c r="P248" i="1"/>
  <c r="P45" i="1"/>
  <c r="P44" i="1"/>
  <c r="M243" i="1"/>
  <c r="M242" i="1"/>
  <c r="M241" i="1"/>
  <c r="M240" i="1"/>
  <c r="M239" i="1"/>
  <c r="M238" i="1"/>
  <c r="I243" i="1"/>
  <c r="I242" i="1"/>
  <c r="I241" i="1"/>
  <c r="I240" i="1"/>
  <c r="I239" i="1"/>
  <c r="I238" i="1"/>
  <c r="M237" i="1"/>
  <c r="M236" i="1"/>
  <c r="I237" i="1"/>
  <c r="I236" i="1"/>
  <c r="M235" i="1"/>
  <c r="M234" i="1"/>
  <c r="I235" i="1"/>
  <c r="I234" i="1"/>
  <c r="M233" i="1"/>
  <c r="M232" i="1"/>
  <c r="I233" i="1"/>
  <c r="I232" i="1"/>
  <c r="M231" i="1"/>
  <c r="M230" i="1"/>
  <c r="I231" i="1"/>
  <c r="I230" i="1"/>
  <c r="M229" i="1"/>
  <c r="M228" i="1"/>
  <c r="I229" i="1"/>
  <c r="I228" i="1"/>
  <c r="M221" i="1"/>
  <c r="M220" i="1"/>
  <c r="M219" i="1"/>
  <c r="M218" i="1"/>
  <c r="M217" i="1"/>
  <c r="M216" i="1"/>
  <c r="I221" i="1"/>
  <c r="I220" i="1"/>
  <c r="I219" i="1"/>
  <c r="I218" i="1"/>
  <c r="I217" i="1"/>
  <c r="I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M203" i="1"/>
  <c r="M202" i="1"/>
  <c r="M201" i="1"/>
  <c r="M200" i="1"/>
  <c r="I203" i="1"/>
  <c r="I202" i="1"/>
  <c r="I201" i="1"/>
  <c r="I200" i="1"/>
  <c r="M199" i="1"/>
  <c r="M198" i="1"/>
  <c r="M197" i="1"/>
  <c r="M196" i="1"/>
  <c r="I199" i="1"/>
  <c r="I198" i="1"/>
  <c r="I197" i="1"/>
  <c r="I196" i="1"/>
  <c r="M195" i="1"/>
  <c r="M194" i="1"/>
  <c r="M193" i="1"/>
  <c r="M192" i="1"/>
  <c r="I195" i="1"/>
  <c r="I194" i="1"/>
  <c r="I193" i="1"/>
  <c r="I192" i="1"/>
  <c r="M191" i="1"/>
  <c r="M190" i="1"/>
  <c r="M189" i="1"/>
  <c r="I191" i="1"/>
  <c r="I190" i="1"/>
  <c r="I189" i="1"/>
  <c r="M188" i="1"/>
  <c r="I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M160" i="1"/>
  <c r="M159" i="1"/>
  <c r="M158" i="1"/>
  <c r="M157" i="1"/>
  <c r="M156" i="1"/>
  <c r="M155" i="1"/>
  <c r="P155" i="1" s="1"/>
  <c r="I160" i="1"/>
  <c r="I159" i="1"/>
  <c r="I158" i="1"/>
  <c r="I157" i="1"/>
  <c r="I156" i="1"/>
  <c r="I155" i="1"/>
  <c r="M154" i="1"/>
  <c r="M153" i="1"/>
  <c r="M152" i="1"/>
  <c r="M151" i="1"/>
  <c r="I154" i="1"/>
  <c r="I153" i="1"/>
  <c r="I152" i="1"/>
  <c r="I151" i="1"/>
  <c r="M150" i="1"/>
  <c r="I150" i="1"/>
  <c r="I149" i="1"/>
  <c r="I148" i="1"/>
  <c r="I147" i="1"/>
  <c r="I146" i="1"/>
  <c r="M149" i="1"/>
  <c r="M148" i="1"/>
  <c r="M147" i="1"/>
  <c r="M146" i="1"/>
  <c r="M145" i="1"/>
  <c r="M144" i="1"/>
  <c r="M143" i="1"/>
  <c r="M142" i="1"/>
  <c r="M141" i="1"/>
  <c r="M140" i="1"/>
  <c r="I145" i="1"/>
  <c r="I144" i="1"/>
  <c r="I143" i="1"/>
  <c r="I142" i="1"/>
  <c r="I141" i="1"/>
  <c r="I140" i="1"/>
  <c r="J123" i="1"/>
  <c r="J122" i="1"/>
  <c r="J121" i="1"/>
  <c r="J120" i="1"/>
  <c r="J119" i="1"/>
  <c r="J118" i="1"/>
  <c r="N123" i="1"/>
  <c r="N122" i="1"/>
  <c r="N121" i="1"/>
  <c r="N120" i="1"/>
  <c r="N119" i="1"/>
  <c r="N118" i="1"/>
  <c r="N64" i="1"/>
  <c r="N63" i="1"/>
  <c r="N62" i="1"/>
  <c r="N61" i="1"/>
  <c r="M139" i="1"/>
  <c r="M138" i="1"/>
  <c r="M137" i="1"/>
  <c r="M136" i="1"/>
  <c r="M135" i="1"/>
  <c r="M134" i="1"/>
  <c r="M133" i="1"/>
  <c r="M132" i="1"/>
  <c r="I139" i="1"/>
  <c r="I138" i="1"/>
  <c r="I137" i="1"/>
  <c r="I136" i="1"/>
  <c r="I135" i="1"/>
  <c r="I134" i="1"/>
  <c r="I133" i="1"/>
  <c r="I132" i="1"/>
  <c r="I124" i="1"/>
  <c r="I127" i="1"/>
  <c r="I126" i="1"/>
  <c r="I125" i="1"/>
  <c r="M127" i="1"/>
  <c r="M126" i="1"/>
  <c r="M125" i="1"/>
  <c r="M124" i="1"/>
  <c r="M110" i="1"/>
  <c r="P157" i="1" l="1"/>
  <c r="P156" i="1"/>
  <c r="P158" i="1"/>
  <c r="P159" i="1"/>
  <c r="P160" i="1"/>
  <c r="P154" i="1"/>
  <c r="P236" i="1"/>
  <c r="P135" i="1"/>
  <c r="P152" i="1"/>
  <c r="P146" i="1"/>
  <c r="P138" i="1"/>
  <c r="P139" i="1"/>
  <c r="P187" i="1"/>
  <c r="P209" i="1"/>
  <c r="P237" i="1"/>
  <c r="P124" i="1"/>
  <c r="P153" i="1"/>
  <c r="P178" i="1"/>
  <c r="P210" i="1"/>
  <c r="P218" i="1"/>
  <c r="P232" i="1"/>
  <c r="P242" i="1"/>
  <c r="P198" i="1"/>
  <c r="P177" i="1"/>
  <c r="P217" i="1"/>
  <c r="P125" i="1"/>
  <c r="P143" i="1"/>
  <c r="P179" i="1"/>
  <c r="P197" i="1"/>
  <c r="P203" i="1"/>
  <c r="P211" i="1"/>
  <c r="P219" i="1"/>
  <c r="P243" i="1"/>
  <c r="P126" i="1"/>
  <c r="P136" i="1"/>
  <c r="P144" i="1"/>
  <c r="P192" i="1"/>
  <c r="P127" i="1"/>
  <c r="P137" i="1"/>
  <c r="P145" i="1"/>
  <c r="P201" i="1"/>
  <c r="P233" i="1"/>
  <c r="P180" i="1"/>
  <c r="P199" i="1"/>
  <c r="P228" i="1"/>
  <c r="P188" i="1"/>
  <c r="P220" i="1"/>
  <c r="P193" i="1"/>
  <c r="P212" i="1"/>
  <c r="P194" i="1"/>
  <c r="P150" i="1"/>
  <c r="P181" i="1"/>
  <c r="P133" i="1"/>
  <c r="P141" i="1"/>
  <c r="P240" i="1"/>
  <c r="P134" i="1"/>
  <c r="P142" i="1"/>
  <c r="P196" i="1"/>
  <c r="P202" i="1"/>
  <c r="P241" i="1"/>
  <c r="P229" i="1"/>
  <c r="P213" i="1"/>
  <c r="P214" i="1"/>
  <c r="P183" i="1"/>
  <c r="P195" i="1"/>
  <c r="P215" i="1"/>
  <c r="P234" i="1"/>
  <c r="P148" i="1"/>
  <c r="P184" i="1"/>
  <c r="P206" i="1"/>
  <c r="P149" i="1"/>
  <c r="P185" i="1"/>
  <c r="P191" i="1"/>
  <c r="P207" i="1"/>
  <c r="P231" i="1"/>
  <c r="P238" i="1"/>
  <c r="P221" i="1"/>
  <c r="P182" i="1"/>
  <c r="P204" i="1"/>
  <c r="P147" i="1"/>
  <c r="P189" i="1"/>
  <c r="P205" i="1"/>
  <c r="P190" i="1"/>
  <c r="P230" i="1"/>
  <c r="P235" i="1"/>
  <c r="P132" i="1"/>
  <c r="P140" i="1"/>
  <c r="P151" i="1"/>
  <c r="P176" i="1"/>
  <c r="P186" i="1"/>
  <c r="P200" i="1"/>
  <c r="P208" i="1"/>
  <c r="P216" i="1"/>
  <c r="P239" i="1"/>
  <c r="M117" i="1"/>
  <c r="M116" i="1"/>
  <c r="M115" i="1"/>
  <c r="M114" i="1"/>
  <c r="I117" i="1"/>
  <c r="I116" i="1"/>
  <c r="I115" i="1"/>
  <c r="I114" i="1"/>
  <c r="P115" i="1" l="1"/>
  <c r="P116" i="1"/>
  <c r="P117" i="1"/>
  <c r="P114" i="1"/>
  <c r="M113" i="1" l="1"/>
  <c r="M112" i="1"/>
  <c r="M111" i="1"/>
  <c r="M109" i="1"/>
  <c r="M108" i="1"/>
  <c r="M107" i="1"/>
  <c r="M106" i="1"/>
  <c r="I113" i="1"/>
  <c r="I112" i="1"/>
  <c r="I111" i="1"/>
  <c r="I110" i="1"/>
  <c r="I109" i="1"/>
  <c r="I108" i="1"/>
  <c r="I107" i="1"/>
  <c r="I106" i="1"/>
  <c r="M105" i="1"/>
  <c r="M104" i="1"/>
  <c r="M103" i="1"/>
  <c r="M102" i="1"/>
  <c r="M101" i="1"/>
  <c r="M100" i="1"/>
  <c r="M99" i="1"/>
  <c r="M98" i="1"/>
  <c r="I105" i="1"/>
  <c r="I104" i="1"/>
  <c r="I103" i="1"/>
  <c r="I102" i="1"/>
  <c r="I101" i="1"/>
  <c r="I100" i="1"/>
  <c r="I99" i="1"/>
  <c r="I98" i="1"/>
  <c r="P102" i="1" l="1"/>
  <c r="P103" i="1"/>
  <c r="P101" i="1"/>
  <c r="P104" i="1"/>
  <c r="P106" i="1"/>
  <c r="P105" i="1"/>
  <c r="P107" i="1"/>
  <c r="P108" i="1"/>
  <c r="P98" i="1"/>
  <c r="P109" i="1"/>
  <c r="P111" i="1"/>
  <c r="P112" i="1"/>
  <c r="P99" i="1"/>
  <c r="P100" i="1"/>
  <c r="P110" i="1"/>
  <c r="P113" i="1"/>
  <c r="M97" i="1" l="1"/>
  <c r="I97" i="1"/>
  <c r="M93" i="1"/>
  <c r="M92" i="1"/>
  <c r="M91" i="1"/>
  <c r="I93" i="1"/>
  <c r="I92" i="1"/>
  <c r="I91" i="1"/>
  <c r="M90" i="1"/>
  <c r="M89" i="1"/>
  <c r="M88" i="1"/>
  <c r="M87" i="1"/>
  <c r="I90" i="1"/>
  <c r="I89" i="1"/>
  <c r="I88" i="1"/>
  <c r="I87" i="1"/>
  <c r="I82" i="1"/>
  <c r="I83" i="1"/>
  <c r="I84" i="1"/>
  <c r="I85" i="1"/>
  <c r="I86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M68" i="1"/>
  <c r="M67" i="1"/>
  <c r="M66" i="1"/>
  <c r="M65" i="1"/>
  <c r="M60" i="1"/>
  <c r="M59" i="1"/>
  <c r="M58" i="1"/>
  <c r="M57" i="1"/>
  <c r="M56" i="1"/>
  <c r="M55" i="1"/>
  <c r="M54" i="1"/>
  <c r="M53" i="1"/>
  <c r="I60" i="1"/>
  <c r="I59" i="1"/>
  <c r="I58" i="1"/>
  <c r="I57" i="1"/>
  <c r="I56" i="1"/>
  <c r="I55" i="1"/>
  <c r="I54" i="1"/>
  <c r="I53" i="1"/>
  <c r="N52" i="1"/>
  <c r="N51" i="1"/>
  <c r="N50" i="1"/>
  <c r="N49" i="1"/>
  <c r="J52" i="1"/>
  <c r="J51" i="1"/>
  <c r="J50" i="1"/>
  <c r="J49" i="1"/>
  <c r="M48" i="1"/>
  <c r="M47" i="1"/>
  <c r="M46" i="1"/>
  <c r="I48" i="1"/>
  <c r="I47" i="1"/>
  <c r="I46" i="1"/>
  <c r="I43" i="1"/>
  <c r="M43" i="1"/>
  <c r="M42" i="1"/>
  <c r="I42" i="1"/>
  <c r="M41" i="1"/>
  <c r="M40" i="1"/>
  <c r="M39" i="1"/>
  <c r="M38" i="1"/>
  <c r="M37" i="1"/>
  <c r="I41" i="1"/>
  <c r="I40" i="1"/>
  <c r="I39" i="1"/>
  <c r="I38" i="1"/>
  <c r="I37" i="1"/>
  <c r="M13" i="1"/>
  <c r="M12" i="1"/>
  <c r="M11" i="1"/>
  <c r="I13" i="1"/>
  <c r="I12" i="1"/>
  <c r="I11" i="1"/>
  <c r="J10" i="1"/>
  <c r="J9" i="1"/>
  <c r="J8" i="1"/>
  <c r="J7" i="1"/>
  <c r="J6" i="1"/>
  <c r="J5" i="1"/>
  <c r="J4" i="1"/>
  <c r="J3" i="1"/>
  <c r="J2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0" i="1"/>
  <c r="N9" i="1"/>
  <c r="N8" i="1"/>
  <c r="N7" i="1"/>
  <c r="N6" i="1"/>
  <c r="N5" i="1"/>
  <c r="N4" i="1"/>
  <c r="N3" i="1"/>
  <c r="N2" i="1"/>
  <c r="P89" i="1" l="1"/>
  <c r="P53" i="1"/>
  <c r="P69" i="1"/>
  <c r="P65" i="1"/>
  <c r="P66" i="1"/>
  <c r="P54" i="1"/>
  <c r="P79" i="1"/>
  <c r="P60" i="1"/>
  <c r="P38" i="1"/>
  <c r="P39" i="1"/>
  <c r="P78" i="1"/>
  <c r="P90" i="1"/>
  <c r="P37" i="1"/>
  <c r="P67" i="1"/>
  <c r="P68" i="1"/>
  <c r="P55" i="1"/>
  <c r="P56" i="1"/>
  <c r="P57" i="1"/>
  <c r="P97" i="1"/>
  <c r="P70" i="1"/>
  <c r="P46" i="1"/>
  <c r="P91" i="1"/>
  <c r="P71" i="1"/>
  <c r="P12" i="1"/>
  <c r="P48" i="1"/>
  <c r="P84" i="1"/>
  <c r="P92" i="1"/>
  <c r="P80" i="1"/>
  <c r="P11" i="1"/>
  <c r="P47" i="1"/>
  <c r="P73" i="1"/>
  <c r="P75" i="1"/>
  <c r="P93" i="1"/>
  <c r="P72" i="1"/>
  <c r="P83" i="1"/>
  <c r="P13" i="1"/>
  <c r="P74" i="1"/>
  <c r="P85" i="1"/>
  <c r="P42" i="1"/>
  <c r="P58" i="1"/>
  <c r="P76" i="1"/>
  <c r="P86" i="1"/>
  <c r="P87" i="1"/>
  <c r="P82" i="1"/>
  <c r="P40" i="1"/>
  <c r="P41" i="1"/>
  <c r="P43" i="1"/>
  <c r="P59" i="1"/>
  <c r="P77" i="1"/>
  <c r="P88" i="1"/>
  <c r="I81" i="1" l="1"/>
  <c r="P81" i="1" l="1"/>
</calcChain>
</file>

<file path=xl/sharedStrings.xml><?xml version="1.0" encoding="utf-8"?>
<sst xmlns="http://schemas.openxmlformats.org/spreadsheetml/2006/main" count="6627" uniqueCount="401">
  <si>
    <t>Year</t>
    <phoneticPr fontId="1" type="noConversion"/>
  </si>
  <si>
    <t>Tannin_control</t>
    <phoneticPr fontId="1" type="noConversion"/>
  </si>
  <si>
    <t>Tannin_treatment</t>
    <phoneticPr fontId="1" type="noConversion"/>
  </si>
  <si>
    <t>Plant_species</t>
    <phoneticPr fontId="1" type="noConversion"/>
  </si>
  <si>
    <t>Herbivory_intensity</t>
    <phoneticPr fontId="1" type="noConversion"/>
  </si>
  <si>
    <t>Tannin_type</t>
    <phoneticPr fontId="1" type="noConversion"/>
  </si>
  <si>
    <t>Plant Ecology</t>
    <phoneticPr fontId="1" type="noConversion"/>
  </si>
  <si>
    <t>https://doi.org/10.1007/s11258-018-0821-7</t>
  </si>
  <si>
    <t>Condensed tannins</t>
    <phoneticPr fontId="1" type="noConversion"/>
  </si>
  <si>
    <t>Publication</t>
    <phoneticPr fontId="1" type="noConversion"/>
  </si>
  <si>
    <t>African Journal of Ecology</t>
    <phoneticPr fontId="1" type="noConversion"/>
  </si>
  <si>
    <t>n_control</t>
    <phoneticPr fontId="1" type="noConversion"/>
  </si>
  <si>
    <t>se_control</t>
    <phoneticPr fontId="1" type="noConversion"/>
  </si>
  <si>
    <t>n_treatment</t>
    <phoneticPr fontId="1" type="noConversion"/>
  </si>
  <si>
    <t>se_treatment</t>
    <phoneticPr fontId="1" type="noConversion"/>
  </si>
  <si>
    <t>sd_control</t>
    <phoneticPr fontId="1" type="noConversion"/>
  </si>
  <si>
    <t>sd_treatment</t>
    <phoneticPr fontId="1" type="noConversion"/>
  </si>
  <si>
    <t>Proceedings of the Royal Society B</t>
    <phoneticPr fontId="1" type="noConversion"/>
  </si>
  <si>
    <t>https://doi.org/10.1111/ppl.12848</t>
  </si>
  <si>
    <t>Physiologia Plantarum</t>
    <phoneticPr fontId="1" type="noConversion"/>
  </si>
  <si>
    <t>https://doi.org/10.1111/j.1365-2745.2012.01980.x</t>
    <phoneticPr fontId="1" type="noConversion"/>
  </si>
  <si>
    <t>Journal of Ecology</t>
    <phoneticPr fontId="1" type="noConversion"/>
  </si>
  <si>
    <t>https://doi.org/10.1007/s00049-008-0399-y</t>
  </si>
  <si>
    <t>Kohi et al., 2010</t>
    <phoneticPr fontId="1" type="noConversion"/>
  </si>
  <si>
    <t>Huang et al., 2013</t>
    <phoneticPr fontId="1" type="noConversion"/>
  </si>
  <si>
    <t>Gallardo et al., 2018</t>
    <phoneticPr fontId="1" type="noConversion"/>
  </si>
  <si>
    <t>Wang et al., 2012</t>
    <phoneticPr fontId="1" type="noConversion"/>
  </si>
  <si>
    <t>Cooper &amp; Rieske, 2008</t>
    <phoneticPr fontId="1" type="noConversion"/>
  </si>
  <si>
    <t>Chemoecology</t>
    <phoneticPr fontId="1" type="noConversion"/>
  </si>
  <si>
    <t>https://doi.org/10.1002/ajb2.1232</t>
    <phoneticPr fontId="1" type="noConversion"/>
  </si>
  <si>
    <t>Monroy &amp; García-Verdugo, 2019</t>
    <phoneticPr fontId="1" type="noConversion"/>
  </si>
  <si>
    <t>American Journal of Botany</t>
    <phoneticPr fontId="1" type="noConversion"/>
  </si>
  <si>
    <t>https://doi.org/10.1007/BF00988332</t>
  </si>
  <si>
    <t>Faeth, 1992</t>
    <phoneticPr fontId="1" type="noConversion"/>
  </si>
  <si>
    <t>Journal of Chemical Ecology</t>
    <phoneticPr fontId="1" type="noConversion"/>
  </si>
  <si>
    <t>Functional Ecology</t>
    <phoneticPr fontId="1" type="noConversion"/>
  </si>
  <si>
    <t>https://doi.org/10.1111/aje.12212</t>
    <phoneticPr fontId="1" type="noConversion"/>
  </si>
  <si>
    <t>Sebata &amp; Ndlovu, 2015</t>
    <phoneticPr fontId="1" type="noConversion"/>
  </si>
  <si>
    <t>https://doi.org/10.1007/BF00320514</t>
    <phoneticPr fontId="1" type="noConversion"/>
  </si>
  <si>
    <t>Stock et al., 1993</t>
    <phoneticPr fontId="1" type="noConversion"/>
  </si>
  <si>
    <t>Oecologia</t>
    <phoneticPr fontId="1" type="noConversion"/>
  </si>
  <si>
    <t>Nosko &amp; Embury, 2018</t>
  </si>
  <si>
    <t>Nosko &amp; Embury, 2018</t>
    <phoneticPr fontId="1" type="noConversion"/>
  </si>
  <si>
    <t>https://doi.org/10.1007/s00442-003-1481-3</t>
    <phoneticPr fontId="1" type="noConversion"/>
  </si>
  <si>
    <t>Osier &amp; Lindroth, 2004</t>
    <phoneticPr fontId="1" type="noConversion"/>
  </si>
  <si>
    <t>https://doi.org/10.1111/een.12054</t>
    <phoneticPr fontId="1" type="noConversion"/>
  </si>
  <si>
    <t>Gu et al., 2013</t>
    <phoneticPr fontId="1" type="noConversion"/>
  </si>
  <si>
    <t>Ecological Entomology</t>
    <phoneticPr fontId="1" type="noConversion"/>
  </si>
  <si>
    <t>https://doi.org/10.1007/s10886-015-0600-z</t>
    <phoneticPr fontId="1" type="noConversion"/>
  </si>
  <si>
    <t>https://doi.org/10.1111/j.1365-2028.2009.01099.x</t>
    <phoneticPr fontId="1" type="noConversion"/>
  </si>
  <si>
    <t>Rubert-Nason et al., 2015</t>
    <phoneticPr fontId="1" type="noConversion"/>
  </si>
  <si>
    <t>Dai et al., 2015</t>
    <phoneticPr fontId="1" type="noConversion"/>
  </si>
  <si>
    <t>Israel Journal of Ecology &amp; Evolution</t>
    <phoneticPr fontId="1" type="noConversion"/>
  </si>
  <si>
    <t>https://doi.org/10.1007/s004680100101</t>
    <phoneticPr fontId="1" type="noConversion"/>
  </si>
  <si>
    <t>Trees</t>
    <phoneticPr fontId="1" type="noConversion"/>
  </si>
  <si>
    <t>https://doi.org/10.1007/s00442-012-2344-6</t>
    <phoneticPr fontId="1" type="noConversion"/>
  </si>
  <si>
    <t>Holeski et al., 2012</t>
    <phoneticPr fontId="1" type="noConversion"/>
  </si>
  <si>
    <t>Oikos</t>
    <phoneticPr fontId="1" type="noConversion"/>
  </si>
  <si>
    <t>https://doi.org/10.1111/j.2007.0030-1299.16165.x</t>
    <phoneticPr fontId="1" type="noConversion"/>
  </si>
  <si>
    <t>Frost &amp; Hunter, 2008</t>
    <phoneticPr fontId="1" type="noConversion"/>
  </si>
  <si>
    <t>https://doi.org/10.1034/j.1600-0706.2003.12680.x</t>
    <phoneticPr fontId="1" type="noConversion"/>
  </si>
  <si>
    <t>Strengbom et al., 2003</t>
    <phoneticPr fontId="1" type="noConversion"/>
  </si>
  <si>
    <t>Austral Ecology</t>
    <phoneticPr fontId="1" type="noConversion"/>
  </si>
  <si>
    <t>https://doi.org/10.1007/PL00014005</t>
    <phoneticPr fontId="1" type="noConversion"/>
  </si>
  <si>
    <t>Nabeshima et al., 2001</t>
    <phoneticPr fontId="1" type="noConversion"/>
  </si>
  <si>
    <t>https://doi.org/10.1007/s10530-022-02970-9</t>
    <phoneticPr fontId="1" type="noConversion"/>
  </si>
  <si>
    <t>https://doi.org/10.1023/A:1020820612833</t>
    <phoneticPr fontId="1" type="noConversion"/>
  </si>
  <si>
    <t>Lindroth et al., 1998</t>
    <phoneticPr fontId="1" type="noConversion"/>
  </si>
  <si>
    <t>https://doi.org/10.32604/phyton.2010.79.081</t>
    <phoneticPr fontId="1" type="noConversion"/>
  </si>
  <si>
    <t>Liu et al., 2010</t>
    <phoneticPr fontId="1" type="noConversion"/>
  </si>
  <si>
    <t>Mizumachi et al., 2012</t>
    <phoneticPr fontId="1" type="noConversion"/>
  </si>
  <si>
    <t>https://doi.org/10.1007/s10310-011-0291-4</t>
    <phoneticPr fontId="1" type="noConversion"/>
  </si>
  <si>
    <t>Quijano-Medina et al., 2020</t>
    <phoneticPr fontId="1" type="noConversion"/>
  </si>
  <si>
    <t>https://doi.org/10.1111/1365-2745.13483</t>
    <phoneticPr fontId="1" type="noConversion"/>
  </si>
  <si>
    <t>https://doi.org/10.1046/j.1365-2435.1997.00065.x</t>
    <phoneticPr fontId="1" type="noConversion"/>
  </si>
  <si>
    <t>Gowda, 2003</t>
    <phoneticPr fontId="1" type="noConversion"/>
  </si>
  <si>
    <t>https://doi.org/10.1111/j.1654-1103.2011.01330.x</t>
    <phoneticPr fontId="1" type="noConversion"/>
  </si>
  <si>
    <t>Hean &amp; Ward, 2011</t>
    <phoneticPr fontId="1" type="noConversion"/>
  </si>
  <si>
    <t>https://doi.org/10.1016/j.actao.2011.04.002</t>
    <phoneticPr fontId="1" type="noConversion"/>
  </si>
  <si>
    <t>Chen et al., 2011</t>
    <phoneticPr fontId="1" type="noConversion"/>
  </si>
  <si>
    <t>https://doi.org/10.1093/aobpla/plz003</t>
    <phoneticPr fontId="1" type="noConversion"/>
  </si>
  <si>
    <t>Xiao et al., 2019</t>
    <phoneticPr fontId="1" type="noConversion"/>
  </si>
  <si>
    <t>https://doi.org/10.1016/S2095-3119(17)61666-6</t>
    <phoneticPr fontId="1" type="noConversion"/>
  </si>
  <si>
    <t>Ma et al., 2018</t>
    <phoneticPr fontId="1" type="noConversion"/>
  </si>
  <si>
    <t>https://doi.org/10.1016/j.actao.2019.05.006</t>
    <phoneticPr fontId="1" type="noConversion"/>
  </si>
  <si>
    <t>Filella et al., 2019</t>
    <phoneticPr fontId="1" type="noConversion"/>
  </si>
  <si>
    <t>https://doi.org/10.1038/s41598-022-13225-x</t>
    <phoneticPr fontId="1" type="noConversion"/>
  </si>
  <si>
    <t>Gaur et al., 2022</t>
    <phoneticPr fontId="1" type="noConversion"/>
  </si>
  <si>
    <t>https://doi.org/10.2307/2265732</t>
    <phoneticPr fontId="1" type="noConversion"/>
  </si>
  <si>
    <t>Ruohomaki et al., 1996</t>
    <phoneticPr fontId="1" type="noConversion"/>
  </si>
  <si>
    <t>https://www.ajol.info/index.php/ajb/article/view/125876</t>
    <phoneticPr fontId="1" type="noConversion"/>
  </si>
  <si>
    <t>https://mail.pakbs.org/pjbot/PDFs/47(1)/25.pdf</t>
    <phoneticPr fontId="1" type="noConversion"/>
  </si>
  <si>
    <t>Liu et al., 2015</t>
    <phoneticPr fontId="1" type="noConversion"/>
  </si>
  <si>
    <t>https://doi.org/10.1023/A:1010352307301</t>
    <phoneticPr fontId="1" type="noConversion"/>
  </si>
  <si>
    <t>Osier &amp; Lindroth, 2001</t>
    <phoneticPr fontId="1" type="noConversion"/>
  </si>
  <si>
    <t>https://doi.org/10.1098/rspb.2013.1318</t>
    <phoneticPr fontId="1" type="noConversion"/>
  </si>
  <si>
    <t>Triadica sebifera</t>
    <phoneticPr fontId="1" type="noConversion"/>
  </si>
  <si>
    <t>Total tannins</t>
    <phoneticPr fontId="1" type="noConversion"/>
  </si>
  <si>
    <t>Generalist</t>
    <phoneticPr fontId="1" type="noConversion"/>
  </si>
  <si>
    <t>Specialist</t>
    <phoneticPr fontId="1" type="noConversion"/>
  </si>
  <si>
    <t>JA</t>
    <phoneticPr fontId="1" type="noConversion"/>
  </si>
  <si>
    <t>Periploca laevigata</t>
    <phoneticPr fontId="1" type="noConversion"/>
  </si>
  <si>
    <t>Pruning</t>
    <phoneticPr fontId="1" type="noConversion"/>
  </si>
  <si>
    <t>Quercus emoryi</t>
    <phoneticPr fontId="1" type="noConversion"/>
  </si>
  <si>
    <t>Leaf_type</t>
    <phoneticPr fontId="1" type="noConversion"/>
  </si>
  <si>
    <t>Plant_type</t>
    <phoneticPr fontId="1" type="noConversion"/>
  </si>
  <si>
    <t>Acacia robusta</t>
    <phoneticPr fontId="1" type="noConversion"/>
  </si>
  <si>
    <t>Dichrostachys cinerea</t>
    <phoneticPr fontId="1" type="noConversion"/>
  </si>
  <si>
    <t>Ziziphus mucronata</t>
    <phoneticPr fontId="1" type="noConversion"/>
  </si>
  <si>
    <t>Ruschia spinosa</t>
    <phoneticPr fontId="1" type="noConversion"/>
  </si>
  <si>
    <t>https://doi.org/10.1080/15659801.2014.986878</t>
    <phoneticPr fontId="1" type="noConversion"/>
  </si>
  <si>
    <t>Herbivore</t>
  </si>
  <si>
    <t>Herbivore</t>
    <phoneticPr fontId="1" type="noConversion"/>
  </si>
  <si>
    <t>Quercus rubra</t>
  </si>
  <si>
    <t>Vaccinium myrtillus</t>
    <phoneticPr fontId="1" type="noConversion"/>
  </si>
  <si>
    <t>Carpobrotus edulis</t>
  </si>
  <si>
    <t>Schima superba</t>
    <phoneticPr fontId="1" type="noConversion"/>
  </si>
  <si>
    <t>Quercus serrata</t>
  </si>
  <si>
    <t>Gossypium hirsutum</t>
    <phoneticPr fontId="1" type="noConversion"/>
  </si>
  <si>
    <t>Acacia karroo</t>
    <phoneticPr fontId="1" type="noConversion"/>
  </si>
  <si>
    <t>Acacia nilotica</t>
    <phoneticPr fontId="1" type="noConversion"/>
  </si>
  <si>
    <t>Acacia sieberiana</t>
    <phoneticPr fontId="1" type="noConversion"/>
  </si>
  <si>
    <t>Acacia xanthophloea</t>
    <phoneticPr fontId="1" type="noConversion"/>
  </si>
  <si>
    <t>JA</t>
  </si>
  <si>
    <t>SA</t>
    <phoneticPr fontId="1" type="noConversion"/>
  </si>
  <si>
    <t>Ephedra fragilis</t>
    <phoneticPr fontId="1" type="noConversion"/>
  </si>
  <si>
    <t>Juniperus oxycedrus</t>
    <phoneticPr fontId="1" type="noConversion"/>
  </si>
  <si>
    <t>Populus tremula</t>
    <phoneticPr fontId="1" type="noConversion"/>
  </si>
  <si>
    <t>Betula pubescens</t>
    <phoneticPr fontId="1" type="noConversion"/>
  </si>
  <si>
    <t>﻿Leymus chinensis</t>
    <phoneticPr fontId="1" type="noConversion"/>
  </si>
  <si>
    <t>﻿Bauhinia brevipes</t>
    <phoneticPr fontId="1" type="noConversion"/>
  </si>
  <si>
    <t>Populus deltoides</t>
    <phoneticPr fontId="1" type="noConversion"/>
  </si>
  <si>
    <t>Forest et al., 2012</t>
    <phoneticPr fontId="1" type="noConversion"/>
  </si>
  <si>
    <t>Populus grandidentata</t>
    <phoneticPr fontId="1" type="noConversion"/>
  </si>
  <si>
    <t>Hydrolysable tannins</t>
    <phoneticPr fontId="1" type="noConversion"/>
  </si>
  <si>
    <t>Impact_factor</t>
    <phoneticPr fontId="1" type="noConversion"/>
  </si>
  <si>
    <t>Boeckler et al., 2013</t>
  </si>
  <si>
    <t>Boeckler et al., 2013</t>
    <phoneticPr fontId="1" type="noConversion"/>
  </si>
  <si>
    <t>Populus nigra</t>
    <phoneticPr fontId="1" type="noConversion"/>
  </si>
  <si>
    <t>Austral Ecology</t>
  </si>
  <si>
    <t>Wigley et al., 2019</t>
    <phoneticPr fontId="1" type="noConversion"/>
  </si>
  <si>
    <t>Visakorpi et al., 2020</t>
    <phoneticPr fontId="1" type="noConversion"/>
  </si>
  <si>
    <t>PLOS one</t>
  </si>
  <si>
    <t>PLOS one</t>
    <phoneticPr fontId="1" type="noConversion"/>
  </si>
  <si>
    <t>Scogings et al., 2014</t>
    <phoneticPr fontId="1" type="noConversion"/>
  </si>
  <si>
    <t>Plant Ecology</t>
  </si>
  <si>
    <t>Leaf_maturity</t>
    <phoneticPr fontId="1" type="noConversion"/>
  </si>
  <si>
    <t>Defoliation</t>
  </si>
  <si>
    <t>Defoliation</t>
    <phoneticPr fontId="1" type="noConversion"/>
  </si>
  <si>
    <t>Measurement_interval</t>
    <phoneticPr fontId="1" type="noConversion"/>
  </si>
  <si>
    <t>Treatment_interval</t>
    <phoneticPr fontId="1" type="noConversion"/>
  </si>
  <si>
    <t>Journal of Plant Research</t>
    <phoneticPr fontId="1" type="noConversion"/>
  </si>
  <si>
    <t>Biological Invasions</t>
    <phoneticPr fontId="1" type="noConversion"/>
  </si>
  <si>
    <t>Phyton-International Journal of Experimental Botany</t>
    <phoneticPr fontId="1" type="noConversion"/>
  </si>
  <si>
    <t>Journal of Forest Research</t>
    <phoneticPr fontId="1" type="noConversion"/>
  </si>
  <si>
    <t>Journal of Vegetation Science</t>
    <phoneticPr fontId="1" type="noConversion"/>
  </si>
  <si>
    <t>Acta Oecologica</t>
    <phoneticPr fontId="1" type="noConversion"/>
  </si>
  <si>
    <t>Tree Physiology</t>
    <phoneticPr fontId="1" type="noConversion"/>
  </si>
  <si>
    <t>AoB Plants</t>
    <phoneticPr fontId="1" type="noConversion"/>
  </si>
  <si>
    <t>Journal of Integrative Agriculture</t>
    <phoneticPr fontId="1" type="noConversion"/>
  </si>
  <si>
    <t>Scientific Reports</t>
    <phoneticPr fontId="1" type="noConversion"/>
  </si>
  <si>
    <t>Ecology</t>
    <phoneticPr fontId="1" type="noConversion"/>
  </si>
  <si>
    <t>African Journal of Biotechnology</t>
  </si>
  <si>
    <t>African Journal of Biotechnology</t>
    <phoneticPr fontId="1" type="noConversion"/>
  </si>
  <si>
    <t>Pakistan Journal of Botany</t>
    <phoneticPr fontId="1" type="noConversion"/>
  </si>
  <si>
    <t>Mixed leaves</t>
    <phoneticPr fontId="1" type="noConversion"/>
  </si>
  <si>
    <t>Defoliation + Salivation</t>
    <phoneticPr fontId="1" type="noConversion"/>
  </si>
  <si>
    <t>Punching</t>
    <phoneticPr fontId="1" type="noConversion"/>
  </si>
  <si>
    <t>lnRR</t>
    <phoneticPr fontId="1" type="noConversion"/>
  </si>
  <si>
    <t>rvar</t>
    <phoneticPr fontId="1" type="noConversion"/>
  </si>
  <si>
    <t>Acacia tortilis</t>
    <phoneticPr fontId="1" type="noConversion"/>
  </si>
  <si>
    <t>Abies balsamea</t>
    <phoneticPr fontId="1" type="noConversion"/>
  </si>
  <si>
    <t>Rossi et al., 2004</t>
    <phoneticPr fontId="1" type="noConversion"/>
  </si>
  <si>
    <t>Quercus crispula</t>
    <phoneticPr fontId="1" type="noConversion"/>
  </si>
  <si>
    <t>Carex atrofusca</t>
  </si>
  <si>
    <t>Quercus ilex</t>
    <phoneticPr fontId="1" type="noConversion"/>
  </si>
  <si>
    <t>Euclea divinorum</t>
    <phoneticPr fontId="1" type="noConversion"/>
  </si>
  <si>
    <t>﻿Populus tremuloides</t>
  </si>
  <si>
    <t>Quercus robur</t>
    <phoneticPr fontId="1" type="noConversion"/>
  </si>
  <si>
    <t>Quercus myrtifolia</t>
    <phoneticPr fontId="1" type="noConversion"/>
  </si>
  <si>
    <t>Alternanthera philoxeroides</t>
    <phoneticPr fontId="1" type="noConversion"/>
  </si>
  <si>
    <t>Shan et al. 2024</t>
  </si>
  <si>
    <t>Shan et al. 2024</t>
    <phoneticPr fontId="1" type="noConversion"/>
  </si>
  <si>
    <t>Ecological Applications</t>
    <phoneticPr fontId="1" type="noConversion"/>
  </si>
  <si>
    <t>Alternanthera sessilis</t>
    <phoneticPr fontId="1" type="noConversion"/>
  </si>
  <si>
    <t>Hydrocotyle sibthorpioides</t>
    <phoneticPr fontId="1" type="noConversion"/>
  </si>
  <si>
    <t>Hydrocotyle verticillata</t>
    <phoneticPr fontId="1" type="noConversion"/>
  </si>
  <si>
    <t>Paspalum notatum</t>
    <phoneticPr fontId="1" type="noConversion"/>
  </si>
  <si>
    <t>Paspalum orbiculare</t>
    <phoneticPr fontId="1" type="noConversion"/>
  </si>
  <si>
    <t>Solidago canadensis</t>
    <phoneticPr fontId="1" type="noConversion"/>
  </si>
  <si>
    <t>Solidago decurrens</t>
    <phoneticPr fontId="1" type="noConversion"/>
  </si>
  <si>
    <t>Sphagneticola calendulacea</t>
    <phoneticPr fontId="1" type="noConversion"/>
  </si>
  <si>
    <t>Sphagneticola trilobata</t>
    <phoneticPr fontId="1" type="noConversion"/>
  </si>
  <si>
    <t>Arnold et al., 2008</t>
    <phoneticPr fontId="1" type="noConversion"/>
  </si>
  <si>
    <t>Aquatic Botany</t>
    <phoneticPr fontId="1" type="noConversion"/>
  </si>
  <si>
    <t>Thalassia testudinum</t>
    <phoneticPr fontId="1" type="noConversion"/>
  </si>
  <si>
    <t>Defoliation + JA</t>
    <phoneticPr fontId="1" type="noConversion"/>
  </si>
  <si>
    <t>Pest Management Science</t>
    <phoneticPr fontId="1" type="noConversion"/>
  </si>
  <si>
    <t>Eisenring et al., 2020</t>
    <phoneticPr fontId="1" type="noConversion"/>
  </si>
  <si>
    <t>Pinus pinaster</t>
    <phoneticPr fontId="1" type="noConversion"/>
  </si>
  <si>
    <t>Sampedro et al., 2011</t>
  </si>
  <si>
    <t>Sampedro et al., 2011</t>
    <phoneticPr fontId="1" type="noConversion"/>
  </si>
  <si>
    <t>https://doi.org/10.1017/S0021859699006607</t>
  </si>
  <si>
    <t>Journal</t>
    <phoneticPr fontId="1" type="noConversion"/>
  </si>
  <si>
    <t>Li et al., 2020</t>
    <phoneticPr fontId="1" type="noConversion"/>
  </si>
  <si>
    <t>https://doi.org/10.1007/s11104-020-04666-2</t>
    <phoneticPr fontId="1" type="noConversion"/>
  </si>
  <si>
    <t>Plant and Soil</t>
  </si>
  <si>
    <t>Plant and Soil</t>
    <phoneticPr fontId="1" type="noConversion"/>
  </si>
  <si>
    <t>https://doi.org/10.1007/s00442-016-3719-x</t>
    <phoneticPr fontId="1" type="noConversion"/>
  </si>
  <si>
    <t>Li et al., 2016</t>
    <phoneticPr fontId="1" type="noConversion"/>
  </si>
  <si>
    <t>Lauer &amp; Rossi, 2011</t>
  </si>
  <si>
    <t>Lauer &amp; Rossi, 2011</t>
    <phoneticPr fontId="1" type="noConversion"/>
  </si>
  <si>
    <t>Florida Entomologist</t>
    <phoneticPr fontId="1" type="noConversion"/>
  </si>
  <si>
    <t>Quercus laevis</t>
    <phoneticPr fontId="1" type="noConversion"/>
  </si>
  <si>
    <t>Punching</t>
  </si>
  <si>
    <t>Liu et al., 2012</t>
  </si>
  <si>
    <t>Liu et al., 2012</t>
    <phoneticPr fontId="1" type="noConversion"/>
  </si>
  <si>
    <t>Ipomoea cairica</t>
    <phoneticPr fontId="1" type="noConversion"/>
  </si>
  <si>
    <t>Ipomoea triloba</t>
    <phoneticPr fontId="1" type="noConversion"/>
  </si>
  <si>
    <t>Ipomoea digitata</t>
    <phoneticPr fontId="1" type="noConversion"/>
  </si>
  <si>
    <t>Paederia foetida</t>
    <phoneticPr fontId="1" type="noConversion"/>
  </si>
  <si>
    <t>Woody</t>
    <phoneticPr fontId="1" type="noConversion"/>
  </si>
  <si>
    <t>Non-woody</t>
    <phoneticPr fontId="1" type="noConversion"/>
  </si>
  <si>
    <t>Erickson et al., 2006</t>
  </si>
  <si>
    <t>Erickson et al., 2006</t>
    <phoneticPr fontId="1" type="noConversion"/>
  </si>
  <si>
    <t>Biotropica</t>
    <phoneticPr fontId="1" type="noConversion"/>
  </si>
  <si>
    <t>Rhizophora mangle</t>
    <phoneticPr fontId="1" type="noConversion"/>
  </si>
  <si>
    <t>Stevens &amp; Lindroth, 2005</t>
    <phoneticPr fontId="1" type="noConversion"/>
  </si>
  <si>
    <t>Pinus sylvestris</t>
    <phoneticPr fontId="1" type="noConversion"/>
  </si>
  <si>
    <t>https://doi.org/10.1093/treephys/tpn017</t>
    <phoneticPr fontId="1" type="noConversion"/>
  </si>
  <si>
    <t>Roitto et al., 2009</t>
  </si>
  <si>
    <t>Roitto et al., 2009</t>
    <phoneticPr fontId="1" type="noConversion"/>
  </si>
  <si>
    <t>Combretum apiculatum</t>
    <phoneticPr fontId="1" type="noConversion"/>
  </si>
  <si>
    <t>New Phytologist</t>
    <phoneticPr fontId="1" type="noConversion"/>
  </si>
  <si>
    <t>Wang et al., 2016</t>
    <phoneticPr fontId="1" type="noConversion"/>
  </si>
  <si>
    <t>BioControl</t>
    <phoneticPr fontId="1" type="noConversion"/>
  </si>
  <si>
    <t>https://doi.org/10.1007/s11829-024-10115-z</t>
    <phoneticPr fontId="1" type="noConversion"/>
  </si>
  <si>
    <t>Ding et al., 2025</t>
  </si>
  <si>
    <t>Ding et al., 2025</t>
    <phoneticPr fontId="1" type="noConversion"/>
  </si>
  <si>
    <t>Arthropod-Plant Interactions</t>
    <phoneticPr fontId="1" type="noConversion"/>
  </si>
  <si>
    <t>Morus alba</t>
    <phoneticPr fontId="1" type="noConversion"/>
  </si>
  <si>
    <t xml:space="preserve">Journal of Plant Growth Regulation </t>
    <phoneticPr fontId="1" type="noConversion"/>
  </si>
  <si>
    <t>Arachis hypogaea</t>
    <phoneticPr fontId="1" type="noConversion"/>
  </si>
  <si>
    <t>Kaur et al., 2017</t>
    <phoneticPr fontId="1" type="noConversion"/>
  </si>
  <si>
    <t>https://doi.org/10.1080/17429145.2017.1353653</t>
    <phoneticPr fontId="1" type="noConversion"/>
  </si>
  <si>
    <t xml:space="preserve">Journal of Plant Interactions </t>
    <phoneticPr fontId="1" type="noConversion"/>
  </si>
  <si>
    <t>Triticum aestivum</t>
    <phoneticPr fontId="1" type="noConversion"/>
  </si>
  <si>
    <t>Forest Ecology and Management</t>
    <phoneticPr fontId="1" type="noConversion"/>
  </si>
  <si>
    <t>Nosko et al., 2020</t>
  </si>
  <si>
    <t>Nosko et al., 2020</t>
    <phoneticPr fontId="1" type="noConversion"/>
  </si>
  <si>
    <t>https://doi.org/10.1016/j.foreco.2019.117839</t>
    <phoneticPr fontId="1" type="noConversion"/>
  </si>
  <si>
    <t>Quercus pyrenaica</t>
    <phoneticPr fontId="1" type="noConversion"/>
  </si>
  <si>
    <t>Canadian Journal of Botany</t>
    <phoneticPr fontId="1" type="noConversion"/>
  </si>
  <si>
    <t>https://doi.org/10.1139/b04-004</t>
    <phoneticPr fontId="1" type="noConversion"/>
  </si>
  <si>
    <t>https://doi.org/10.1093/jpe/rtz004</t>
    <phoneticPr fontId="1" type="noConversion"/>
  </si>
  <si>
    <t>Portela et al., 2019</t>
  </si>
  <si>
    <t>Portela et al., 2019</t>
    <phoneticPr fontId="1" type="noConversion"/>
  </si>
  <si>
    <t>Journal of Plant Ecology</t>
    <phoneticPr fontId="1" type="noConversion"/>
  </si>
  <si>
    <t>Pinus ponderosa</t>
    <phoneticPr fontId="1" type="noConversion"/>
  </si>
  <si>
    <t>Wagner &amp; Evans, 1985</t>
    <phoneticPr fontId="1" type="noConversion"/>
  </si>
  <si>
    <t>DOI/Website</t>
    <phoneticPr fontId="1" type="noConversion"/>
  </si>
  <si>
    <t>Stevens et al., 2012</t>
  </si>
  <si>
    <t>Stevens et al., 2012</t>
    <phoneticPr fontId="1" type="noConversion"/>
  </si>
  <si>
    <t xml:space="preserve">Journal of Chemical Ecology </t>
    <phoneticPr fontId="1" type="noConversion"/>
  </si>
  <si>
    <t>Defoliation + Herbivore</t>
    <phoneticPr fontId="1" type="noConversion"/>
  </si>
  <si>
    <t>Rehill &amp; Schultz, 2012</t>
    <phoneticPr fontId="1" type="noConversion"/>
  </si>
  <si>
    <t>Hamamelis virginiana</t>
    <phoneticPr fontId="1" type="noConversion"/>
  </si>
  <si>
    <t>Stevens et al., 2007</t>
    <phoneticPr fontId="1" type="noConversion"/>
  </si>
  <si>
    <t>Evolutionary Ecology</t>
    <phoneticPr fontId="1" type="noConversion"/>
  </si>
  <si>
    <t>Colophospermum mopane</t>
    <phoneticPr fontId="1" type="noConversion"/>
  </si>
  <si>
    <t>Castanea dentata</t>
    <phoneticPr fontId="1" type="noConversion"/>
  </si>
  <si>
    <t>﻿Castanea mollissima</t>
    <phoneticPr fontId="1" type="noConversion"/>
  </si>
  <si>
    <t>﻿Bialczyk et al., 1999</t>
    <phoneticPr fontId="1" type="noConversion"/>
  </si>
  <si>
    <t>﻿Journal of Agricultural Science</t>
    <phoneticPr fontId="1" type="noConversion"/>
  </si>
  <si>
    <t>﻿Baraza et al., 2004</t>
    <phoneticPr fontId="1" type="noConversion"/>
  </si>
  <si>
    <t>Carpobrotus edulis</t>
    <phoneticPr fontId="1" type="noConversion"/>
  </si>
  <si>
    <t>Acacia grandicornuta</t>
    <phoneticPr fontId="1" type="noConversion"/>
  </si>
  <si>
    <t>Acacia brevispica</t>
    <phoneticPr fontId="1" type="noConversion"/>
  </si>
  <si>
    <t>Acacia mellifera</t>
    <phoneticPr fontId="1" type="noConversion"/>
  </si>
  <si>
    <t>Acacia exuvialis</t>
    <phoneticPr fontId="1" type="noConversion"/>
  </si>
  <si>
    <t>Carex atrofusca</t>
    <phoneticPr fontId="1" type="noConversion"/>
  </si>
  <si>
    <t>Acacia etbaica</t>
    <phoneticPr fontId="1" type="noConversion"/>
  </si>
  <si>
    <t>Balanites pedicellaris</t>
    <phoneticPr fontId="1" type="noConversion"/>
  </si>
  <si>
    <t>Grewia tenax</t>
    <phoneticPr fontId="1" type="noConversion"/>
  </si>
  <si>
    <t>Croton dichogamus</t>
    <phoneticPr fontId="1" type="noConversion"/>
  </si>
  <si>
    <t>Solanum lycopersicum</t>
  </si>
  <si>
    <t>Family</t>
    <phoneticPr fontId="1" type="noConversion"/>
  </si>
  <si>
    <t>Pinaceae</t>
  </si>
  <si>
    <t>Pinaceae</t>
    <phoneticPr fontId="1" type="noConversion"/>
  </si>
  <si>
    <t>Euphorbiaceae</t>
  </si>
  <si>
    <t>Euphorbiaceae</t>
    <phoneticPr fontId="1" type="noConversion"/>
  </si>
  <si>
    <t>Fagaceae</t>
  </si>
  <si>
    <t>Fagaceae</t>
    <phoneticPr fontId="1" type="noConversion"/>
  </si>
  <si>
    <t>Apocynaceae</t>
  </si>
  <si>
    <t>Fabaceae</t>
  </si>
  <si>
    <t>Fabaceae</t>
    <phoneticPr fontId="1" type="noConversion"/>
  </si>
  <si>
    <t>Rhamnaceae</t>
    <phoneticPr fontId="1" type="noConversion"/>
  </si>
  <si>
    <t>Aizoaceae</t>
    <phoneticPr fontId="1" type="noConversion"/>
  </si>
  <si>
    <t>Salicaceae</t>
  </si>
  <si>
    <t>Salicaceae</t>
    <phoneticPr fontId="1" type="noConversion"/>
  </si>
  <si>
    <t>Poaceae</t>
  </si>
  <si>
    <t>Poaceae</t>
    <phoneticPr fontId="1" type="noConversion"/>
  </si>
  <si>
    <t>Ericaceae</t>
    <phoneticPr fontId="1" type="noConversion"/>
  </si>
  <si>
    <t>Sapindaceae</t>
    <phoneticPr fontId="1" type="noConversion"/>
  </si>
  <si>
    <t>Theaceae</t>
  </si>
  <si>
    <t>Theaceae</t>
    <phoneticPr fontId="1" type="noConversion"/>
  </si>
  <si>
    <t>Malvaceae</t>
  </si>
  <si>
    <t>Malvaceae</t>
    <phoneticPr fontId="1" type="noConversion"/>
  </si>
  <si>
    <t>Cyperaceae</t>
    <phoneticPr fontId="1" type="noConversion"/>
  </si>
  <si>
    <t>Ephedraceae</t>
    <phoneticPr fontId="1" type="noConversion"/>
  </si>
  <si>
    <t>Cupressaceae</t>
    <phoneticPr fontId="1" type="noConversion"/>
  </si>
  <si>
    <t>Betulaceae</t>
    <phoneticPr fontId="1" type="noConversion"/>
  </si>
  <si>
    <t>Ebenaceae</t>
    <phoneticPr fontId="1" type="noConversion"/>
  </si>
  <si>
    <t>Combretaceae</t>
  </si>
  <si>
    <t>Combretaceae</t>
    <phoneticPr fontId="1" type="noConversion"/>
  </si>
  <si>
    <t>Zygophyllaceae</t>
    <phoneticPr fontId="1" type="noConversion"/>
  </si>
  <si>
    <t>Amaranthaceae</t>
  </si>
  <si>
    <t>Amaranthaceae</t>
    <phoneticPr fontId="1" type="noConversion"/>
  </si>
  <si>
    <t>Araliaceae</t>
  </si>
  <si>
    <t>Asteraceae</t>
  </si>
  <si>
    <t>Solanaceae</t>
  </si>
  <si>
    <t>Convolvulaceae</t>
  </si>
  <si>
    <t>Rubiaceae</t>
  </si>
  <si>
    <t>Rhizophoraceae</t>
  </si>
  <si>
    <t>Rubiaceae</t>
    <phoneticPr fontId="1" type="noConversion"/>
  </si>
  <si>
    <t>Moraceae</t>
  </si>
  <si>
    <t>Hamamelidaceae</t>
  </si>
  <si>
    <t>Hydrocharitaceae</t>
  </si>
  <si>
    <t>Treatment_type</t>
    <phoneticPr fontId="1" type="noConversion"/>
  </si>
  <si>
    <t>Chemical</t>
  </si>
  <si>
    <t>Chemical</t>
    <phoneticPr fontId="1" type="noConversion"/>
  </si>
  <si>
    <t>Treatment_typeII</t>
    <phoneticPr fontId="1" type="noConversion"/>
  </si>
  <si>
    <t>Preexisting leaves</t>
    <phoneticPr fontId="1" type="noConversion"/>
  </si>
  <si>
    <t>Re-growth leaves</t>
    <phoneticPr fontId="1" type="noConversion"/>
  </si>
  <si>
    <t>Acer saccharum</t>
    <phoneticPr fontId="1" type="noConversion"/>
  </si>
  <si>
    <t>Treated leaves</t>
  </si>
  <si>
    <t>Treated leaves</t>
    <phoneticPr fontId="1" type="noConversion"/>
  </si>
  <si>
    <t>Untreated leaves</t>
  </si>
  <si>
    <t>Untreated leaves</t>
    <phoneticPr fontId="1" type="noConversion"/>
  </si>
  <si>
    <t>Joint</t>
  </si>
  <si>
    <t>Joint</t>
    <phoneticPr fontId="1" type="noConversion"/>
  </si>
  <si>
    <t>Woody</t>
  </si>
  <si>
    <t>Effect_ID</t>
    <phoneticPr fontId="1" type="noConversion"/>
  </si>
  <si>
    <t>Chemoecology</t>
  </si>
  <si>
    <t>Betula pendula</t>
    <phoneticPr fontId="1" type="noConversion"/>
  </si>
  <si>
    <t>https://doi.org/10.1890/0012-9658(1999)080[1970:TOIPMO]2.0.CO;2</t>
    <phoneticPr fontId="1" type="noConversion"/>
  </si>
  <si>
    <t>Keinänen et al., 1999</t>
    <phoneticPr fontId="1" type="noConversion"/>
  </si>
  <si>
    <t>Ecology</t>
  </si>
  <si>
    <t>Peters &amp; Constabel, 2002</t>
    <phoneticPr fontId="1" type="noConversion"/>
  </si>
  <si>
    <t>https://doi.org/10.1046/j.1365-313X.2002.01458.x</t>
    <phoneticPr fontId="1" type="noConversion"/>
  </si>
  <si>
    <t>Plant Journal</t>
  </si>
  <si>
    <t>Plant Journal</t>
    <phoneticPr fontId="1" type="noConversion"/>
  </si>
  <si>
    <t>Populus tremuloides</t>
  </si>
  <si>
    <t>Fyllas et al., 2022</t>
    <phoneticPr fontId="1" type="noConversion"/>
  </si>
  <si>
    <t>https://doi.org/10.1093/treephys/tpac067</t>
    <phoneticPr fontId="1" type="noConversion"/>
  </si>
  <si>
    <t>Quercus coccifera</t>
  </si>
  <si>
    <t>Quercus pubescens</t>
  </si>
  <si>
    <t>Schultz &amp; Baldwin, 1982</t>
    <phoneticPr fontId="1" type="noConversion"/>
  </si>
  <si>
    <t>Science</t>
    <phoneticPr fontId="1" type="noConversion"/>
  </si>
  <si>
    <t>Quercus rubrum</t>
    <phoneticPr fontId="1" type="noConversion"/>
  </si>
  <si>
    <t>Artificial</t>
  </si>
  <si>
    <t>Bauhinia brevipes</t>
    <phoneticPr fontId="1" type="noConversion"/>
  </si>
  <si>
    <t>Quercus coccifera</t>
    <phoneticPr fontId="1" type="noConversion"/>
  </si>
  <si>
    <t>NA</t>
  </si>
  <si>
    <t>NA</t>
    <phoneticPr fontId="1" type="noConversion"/>
  </si>
  <si>
    <t>https://doi.org/10.1007/s11258-013-0279-6</t>
  </si>
  <si>
    <t>https://doi.org/10.1111/aec.13223</t>
    <phoneticPr fontId="1" type="noConversion"/>
  </si>
  <si>
    <t>https://doi.org/10.1111/j.1365-2435.2012.01986.x</t>
    <phoneticPr fontId="1" type="noConversion"/>
  </si>
  <si>
    <t>https://doi.org/10.1007/s10886-013-0350-8</t>
    <phoneticPr fontId="1" type="noConversion"/>
  </si>
  <si>
    <t>https://doi.org/10.1371/journal.pone.0228157</t>
    <phoneticPr fontId="1" type="noConversion"/>
  </si>
  <si>
    <t>https://doi.org/10.1023/B:JOEC.0000030268.78918.3a</t>
    <phoneticPr fontId="1" type="noConversion"/>
  </si>
  <si>
    <t>https://doi.org/10.1002/eap.2791</t>
    <phoneticPr fontId="1" type="noConversion"/>
  </si>
  <si>
    <t>https://doi.org/10.1016/j.aquabot.2008.02.001</t>
    <phoneticPr fontId="1" type="noConversion"/>
  </si>
  <si>
    <t>https://doi.org/10.1007/s00442-001-0839-7</t>
    <phoneticPr fontId="1" type="noConversion"/>
  </si>
  <si>
    <t>https://doi.org/10.1002/ps.3764</t>
    <phoneticPr fontId="1" type="noConversion"/>
  </si>
  <si>
    <t>https://doi.org/10.1111/1365-2435.13699</t>
  </si>
  <si>
    <t>https://doi.org/10.1111/j.1365-2745.2011.01814.x</t>
    <phoneticPr fontId="1" type="noConversion"/>
  </si>
  <si>
    <t>https://doi.org/10.1126/science.217.4555.149</t>
    <phoneticPr fontId="1" type="noConversion"/>
  </si>
  <si>
    <t>https://doi.org/10.1007/s10886-012-0115-9</t>
  </si>
  <si>
    <t>https://doi.org/10.1007/s10886-012-0081-2</t>
    <phoneticPr fontId="1" type="noConversion"/>
  </si>
  <si>
    <t>https://doi.org/10.1007/s10682-006-9154-4</t>
    <phoneticPr fontId="1" type="noConversion"/>
  </si>
  <si>
    <t>https://doi.org/10.1007/s00049-007-0397-5</t>
    <phoneticPr fontId="1" type="noConversion"/>
  </si>
  <si>
    <t>https://doi.org/10.1007/BF00384291</t>
    <phoneticPr fontId="1" type="noConversion"/>
  </si>
  <si>
    <t>https://doi.org/10.1007/s00344-012-9294-4</t>
    <phoneticPr fontId="1" type="noConversion"/>
  </si>
  <si>
    <t>https://doi.org/10.1007/s10526-016-9746-z</t>
    <phoneticPr fontId="1" type="noConversion"/>
  </si>
  <si>
    <t>https://doi.org/10.1111/j.1469-8137.2004.01157.x</t>
    <phoneticPr fontId="1" type="noConversion"/>
  </si>
  <si>
    <t>https://doi.org/10.1007/s11258-006-9177-5</t>
    <phoneticPr fontId="1" type="noConversion"/>
  </si>
  <si>
    <t>https://doi.org/10.1007/s00442-005-0128-y</t>
    <phoneticPr fontId="1" type="noConversion"/>
  </si>
  <si>
    <t>https://doi.org/10.1111/j.1744-7429.2004.tb00325.x</t>
    <phoneticPr fontId="1" type="noConversion"/>
  </si>
  <si>
    <t>https://doi.org/10.1371/journal.pone.0048829</t>
    <phoneticPr fontId="1" type="noConversion"/>
  </si>
  <si>
    <t>https://doi.org/10.1653/024.094.0310</t>
    <phoneticPr fontId="1" type="noConversion"/>
  </si>
  <si>
    <t>Rodríguez et al., 2023</t>
    <phoneticPr fontId="1" type="noConversion"/>
  </si>
  <si>
    <t>Rooke &amp; Bergström, 2007</t>
    <phoneticPr fontId="1" type="noConversion"/>
  </si>
  <si>
    <t>War et al., 2013</t>
    <phoneticPr fontId="1" type="noConversion"/>
  </si>
  <si>
    <t>War et al., 2015</t>
    <phoneticPr fontId="1" type="noConversion"/>
  </si>
  <si>
    <t>Cornelissen &amp; Fernandes, 2001</t>
    <phoneticPr fontId="1" type="noConversion"/>
  </si>
  <si>
    <t>Life_span</t>
  </si>
  <si>
    <t>Perennial</t>
  </si>
  <si>
    <t>Annual</t>
  </si>
  <si>
    <t>﻿Arnold &amp; Schultz, 2002</t>
    <phoneticPr fontId="1" type="noConversion"/>
  </si>
  <si>
    <t>﻿Huttunen et al., 2008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</si>
</sst>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2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ink.springer.com/article/10.1007/s10886-012-0115-9" TargetMode="External"/><Relationship Id="rId1" Type="http://schemas.openxmlformats.org/officeDocument/2006/relationships/hyperlink" Target="https://www.sciencedirect.com/journal/aquatic-bot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E4FB-51E8-BB4E-9C92-B6D7DF00E28B}">
  <dimension ref="A1:AB514"/>
  <sheetViews>
    <sheetView tabSelected="1" zoomScale="85" zoomScaleNormal="8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1" sqref="E21"/>
    </sheetView>
  </sheetViews>
  <sheetFormatPr baseColWidth="10" defaultColWidth="25.83203125" defaultRowHeight="16"/>
  <cols>
    <col min="1" max="1" width="73.1640625" style="7" bestFit="1" customWidth="1"/>
    <col min="2" max="2" width="33.6640625" style="7" bestFit="1" customWidth="1"/>
    <col min="3" max="3" width="11" style="7" bestFit="1" customWidth="1"/>
    <col min="4" max="4" width="54.83203125" style="7" bestFit="1" customWidth="1"/>
    <col min="5" max="5" width="15.83203125" style="7" bestFit="1" customWidth="1"/>
    <col min="6" max="6" width="7" style="7" bestFit="1" customWidth="1"/>
    <col min="7" max="7" width="17.1640625" style="8" bestFit="1" customWidth="1"/>
    <col min="8" max="8" width="11.33203125" style="7" bestFit="1" customWidth="1"/>
    <col min="9" max="9" width="12.83203125" style="8" bestFit="1" customWidth="1"/>
    <col min="10" max="10" width="12.5" style="8" bestFit="1" customWidth="1"/>
    <col min="11" max="11" width="19.83203125" style="8" bestFit="1" customWidth="1"/>
    <col min="12" max="12" width="13.83203125" style="7" bestFit="1" customWidth="1"/>
    <col min="13" max="14" width="15" style="8" bestFit="1" customWidth="1"/>
    <col min="15" max="15" width="10" style="9" bestFit="1" customWidth="1"/>
    <col min="16" max="16" width="9.33203125" style="9" bestFit="1" customWidth="1"/>
    <col min="17" max="17" width="19" style="9" bestFit="1" customWidth="1"/>
    <col min="18" max="18" width="30.33203125" style="7" bestFit="1" customWidth="1"/>
    <col min="19" max="19" width="12.5" style="10" bestFit="1" customWidth="1"/>
    <col min="20" max="20" width="22.33203125" style="10" bestFit="1" customWidth="1"/>
    <col min="21" max="21" width="18.6640625" style="10" bestFit="1" customWidth="1"/>
    <col min="22" max="22" width="19.5" style="10" bestFit="1" customWidth="1"/>
    <col min="23" max="23" width="17.83203125" style="10" bestFit="1" customWidth="1"/>
    <col min="24" max="24" width="24.5" style="7" bestFit="1" customWidth="1"/>
    <col min="25" max="25" width="22.33203125" style="7" bestFit="1" customWidth="1"/>
    <col min="26" max="26" width="21.33203125" style="7" bestFit="1" customWidth="1"/>
    <col min="27" max="27" width="25.33203125" style="7" bestFit="1" customWidth="1"/>
    <col min="29" max="16384" width="25.83203125" style="7"/>
  </cols>
  <sheetData>
    <row r="1" spans="1:28" s="6" customFormat="1">
      <c r="A1" s="1" t="s">
        <v>260</v>
      </c>
      <c r="B1" s="1" t="s">
        <v>9</v>
      </c>
      <c r="C1" s="1" t="s">
        <v>342</v>
      </c>
      <c r="D1" s="1" t="s">
        <v>203</v>
      </c>
      <c r="E1" s="1" t="s">
        <v>135</v>
      </c>
      <c r="F1" s="1" t="s">
        <v>0</v>
      </c>
      <c r="G1" s="2" t="s">
        <v>1</v>
      </c>
      <c r="H1" s="1" t="s">
        <v>11</v>
      </c>
      <c r="I1" s="2" t="s">
        <v>15</v>
      </c>
      <c r="J1" s="2" t="s">
        <v>12</v>
      </c>
      <c r="K1" s="2" t="s">
        <v>2</v>
      </c>
      <c r="L1" s="1" t="s">
        <v>13</v>
      </c>
      <c r="M1" s="2" t="s">
        <v>16</v>
      </c>
      <c r="N1" s="2" t="s">
        <v>14</v>
      </c>
      <c r="O1" s="2" t="s">
        <v>168</v>
      </c>
      <c r="P1" s="2" t="s">
        <v>169</v>
      </c>
      <c r="Q1" s="2" t="s">
        <v>286</v>
      </c>
      <c r="R1" s="1" t="s">
        <v>3</v>
      </c>
      <c r="S1" s="1" t="s">
        <v>105</v>
      </c>
      <c r="T1" s="1" t="s">
        <v>5</v>
      </c>
      <c r="U1" s="1" t="s">
        <v>104</v>
      </c>
      <c r="V1" s="1" t="s">
        <v>146</v>
      </c>
      <c r="W1" s="1" t="s">
        <v>328</v>
      </c>
      <c r="X1" s="1" t="s">
        <v>331</v>
      </c>
      <c r="Y1" s="1" t="s">
        <v>4</v>
      </c>
      <c r="Z1" s="1" t="s">
        <v>150</v>
      </c>
      <c r="AA1" s="1" t="s">
        <v>149</v>
      </c>
      <c r="AB1" s="12" t="s">
        <v>396</v>
      </c>
    </row>
    <row r="2" spans="1:28">
      <c r="A2" s="3" t="s">
        <v>7</v>
      </c>
      <c r="B2" s="3" t="s">
        <v>42</v>
      </c>
      <c r="C2" s="3">
        <v>1</v>
      </c>
      <c r="D2" s="3" t="s">
        <v>6</v>
      </c>
      <c r="E2" s="3">
        <v>1.9</v>
      </c>
      <c r="F2" s="3">
        <v>2018</v>
      </c>
      <c r="G2" s="4">
        <v>5.5</v>
      </c>
      <c r="H2" s="3">
        <v>10</v>
      </c>
      <c r="I2" s="4">
        <v>2.0099999999999998</v>
      </c>
      <c r="J2" s="4">
        <f t="shared" ref="J2:J10" si="0">I2 / SQRT(H2)</f>
        <v>0.63561780969384418</v>
      </c>
      <c r="K2" s="4">
        <v>5.47</v>
      </c>
      <c r="L2" s="3">
        <v>10</v>
      </c>
      <c r="M2" s="4">
        <v>1.03</v>
      </c>
      <c r="N2" s="4">
        <f t="shared" ref="N2:N10" si="1">M2 / SQRT(L2)</f>
        <v>0.32571459899734306</v>
      </c>
      <c r="O2" s="4">
        <f t="shared" ref="O2:O33" si="2">LN(K2/G2)</f>
        <v>-5.4694758045354328E-3</v>
      </c>
      <c r="P2" s="4">
        <f t="shared" ref="P2:P65" si="3">(M2^2)/(L2*(K2^2)) + (I2^2)/(H2*(G2^2))</f>
        <v>1.6901384594515859E-2</v>
      </c>
      <c r="Q2" s="4" t="s">
        <v>288</v>
      </c>
      <c r="R2" s="3" t="s">
        <v>171</v>
      </c>
      <c r="S2" s="3" t="s">
        <v>221</v>
      </c>
      <c r="T2" s="3" t="s">
        <v>8</v>
      </c>
      <c r="U2" s="3" t="s">
        <v>338</v>
      </c>
      <c r="V2" s="3" t="s">
        <v>332</v>
      </c>
      <c r="W2" s="3" t="s">
        <v>360</v>
      </c>
      <c r="X2" s="3" t="s">
        <v>102</v>
      </c>
      <c r="Y2" s="3" t="s">
        <v>364</v>
      </c>
      <c r="Z2" s="3">
        <v>0</v>
      </c>
      <c r="AA2" s="3">
        <v>7</v>
      </c>
      <c r="AB2" s="11" t="s">
        <v>397</v>
      </c>
    </row>
    <row r="3" spans="1:28">
      <c r="A3" s="3" t="s">
        <v>7</v>
      </c>
      <c r="B3" s="3" t="s">
        <v>41</v>
      </c>
      <c r="C3" s="3">
        <v>2</v>
      </c>
      <c r="D3" s="3" t="s">
        <v>6</v>
      </c>
      <c r="E3" s="3">
        <v>1.9</v>
      </c>
      <c r="F3" s="3">
        <v>2018</v>
      </c>
      <c r="G3" s="4">
        <v>5.5</v>
      </c>
      <c r="H3" s="3">
        <v>10</v>
      </c>
      <c r="I3" s="4">
        <v>2.0099999999999998</v>
      </c>
      <c r="J3" s="4">
        <f t="shared" si="0"/>
        <v>0.63561780969384418</v>
      </c>
      <c r="K3" s="4">
        <v>5.55</v>
      </c>
      <c r="L3" s="3">
        <v>10</v>
      </c>
      <c r="M3" s="4">
        <v>1.88</v>
      </c>
      <c r="N3" s="4">
        <f t="shared" si="1"/>
        <v>0.59450820011165528</v>
      </c>
      <c r="O3" s="4">
        <f t="shared" si="2"/>
        <v>9.0498355199178562E-3</v>
      </c>
      <c r="P3" s="4">
        <f t="shared" si="3"/>
        <v>2.483009579156999E-2</v>
      </c>
      <c r="Q3" s="4" t="s">
        <v>288</v>
      </c>
      <c r="R3" s="3" t="s">
        <v>171</v>
      </c>
      <c r="S3" s="3" t="s">
        <v>221</v>
      </c>
      <c r="T3" s="3" t="s">
        <v>8</v>
      </c>
      <c r="U3" s="3" t="s">
        <v>337</v>
      </c>
      <c r="V3" s="3" t="s">
        <v>332</v>
      </c>
      <c r="W3" s="3" t="s">
        <v>360</v>
      </c>
      <c r="X3" s="3" t="s">
        <v>102</v>
      </c>
      <c r="Y3" s="3" t="s">
        <v>363</v>
      </c>
      <c r="Z3" s="3">
        <v>0</v>
      </c>
      <c r="AA3" s="3">
        <v>7</v>
      </c>
      <c r="AB3" s="11" t="s">
        <v>397</v>
      </c>
    </row>
    <row r="4" spans="1:28">
      <c r="A4" s="3" t="s">
        <v>7</v>
      </c>
      <c r="B4" s="3" t="s">
        <v>41</v>
      </c>
      <c r="C4" s="3">
        <v>3</v>
      </c>
      <c r="D4" s="3" t="s">
        <v>6</v>
      </c>
      <c r="E4" s="3">
        <v>1.9</v>
      </c>
      <c r="F4" s="3">
        <v>2018</v>
      </c>
      <c r="G4" s="4">
        <v>5.5</v>
      </c>
      <c r="H4" s="3">
        <v>10</v>
      </c>
      <c r="I4" s="4">
        <v>2.0099999999999998</v>
      </c>
      <c r="J4" s="4">
        <f t="shared" si="0"/>
        <v>0.63561780969384418</v>
      </c>
      <c r="K4" s="4">
        <v>5.4</v>
      </c>
      <c r="L4" s="3">
        <v>10</v>
      </c>
      <c r="M4" s="4">
        <v>1.42</v>
      </c>
      <c r="N4" s="4">
        <f t="shared" si="1"/>
        <v>0.44904342774390982</v>
      </c>
      <c r="O4" s="4">
        <f t="shared" si="2"/>
        <v>-1.834913866819643E-2</v>
      </c>
      <c r="P4" s="4">
        <f t="shared" si="3"/>
        <v>2.0270654468364901E-2</v>
      </c>
      <c r="Q4" s="4" t="s">
        <v>288</v>
      </c>
      <c r="R4" s="3" t="s">
        <v>171</v>
      </c>
      <c r="S4" s="3" t="s">
        <v>221</v>
      </c>
      <c r="T4" s="3" t="s">
        <v>8</v>
      </c>
      <c r="U4" s="3" t="s">
        <v>337</v>
      </c>
      <c r="V4" s="3" t="s">
        <v>332</v>
      </c>
      <c r="W4" s="3" t="s">
        <v>360</v>
      </c>
      <c r="X4" s="3" t="s">
        <v>102</v>
      </c>
      <c r="Y4" s="3" t="s">
        <v>363</v>
      </c>
      <c r="Z4" s="3">
        <v>0</v>
      </c>
      <c r="AA4" s="3">
        <v>7</v>
      </c>
      <c r="AB4" s="11" t="s">
        <v>397</v>
      </c>
    </row>
    <row r="5" spans="1:28">
      <c r="A5" s="3" t="s">
        <v>7</v>
      </c>
      <c r="B5" s="3" t="s">
        <v>41</v>
      </c>
      <c r="C5" s="3">
        <v>4</v>
      </c>
      <c r="D5" s="3" t="s">
        <v>6</v>
      </c>
      <c r="E5" s="3">
        <v>1.9</v>
      </c>
      <c r="F5" s="3">
        <v>2018</v>
      </c>
      <c r="G5" s="4">
        <v>3.7</v>
      </c>
      <c r="H5" s="3">
        <v>10</v>
      </c>
      <c r="I5" s="4">
        <v>1.1200000000000001</v>
      </c>
      <c r="J5" s="4">
        <f t="shared" si="0"/>
        <v>0.35417509793885849</v>
      </c>
      <c r="K5" s="4">
        <v>3.99</v>
      </c>
      <c r="L5" s="3">
        <v>10</v>
      </c>
      <c r="M5" s="4">
        <v>1.1000000000000001</v>
      </c>
      <c r="N5" s="4">
        <f t="shared" si="1"/>
        <v>0.34785054261852172</v>
      </c>
      <c r="O5" s="4">
        <f t="shared" si="2"/>
        <v>7.5458411251593416E-2</v>
      </c>
      <c r="P5" s="4">
        <f t="shared" si="3"/>
        <v>1.6763347393364828E-2</v>
      </c>
      <c r="Q5" s="4" t="s">
        <v>288</v>
      </c>
      <c r="R5" s="3" t="s">
        <v>171</v>
      </c>
      <c r="S5" s="3" t="s">
        <v>221</v>
      </c>
      <c r="T5" s="3" t="s">
        <v>8</v>
      </c>
      <c r="U5" s="3" t="s">
        <v>337</v>
      </c>
      <c r="V5" s="3" t="s">
        <v>332</v>
      </c>
      <c r="W5" s="3" t="s">
        <v>360</v>
      </c>
      <c r="X5" s="3" t="s">
        <v>102</v>
      </c>
      <c r="Y5" s="3" t="s">
        <v>363</v>
      </c>
      <c r="Z5" s="3">
        <v>0</v>
      </c>
      <c r="AA5" s="3">
        <v>30</v>
      </c>
      <c r="AB5" s="11" t="s">
        <v>397</v>
      </c>
    </row>
    <row r="6" spans="1:28">
      <c r="A6" s="3" t="s">
        <v>7</v>
      </c>
      <c r="B6" s="3" t="s">
        <v>41</v>
      </c>
      <c r="C6" s="3">
        <v>5</v>
      </c>
      <c r="D6" s="3" t="s">
        <v>6</v>
      </c>
      <c r="E6" s="3">
        <v>1.9</v>
      </c>
      <c r="F6" s="3">
        <v>2018</v>
      </c>
      <c r="G6" s="4">
        <v>3.7</v>
      </c>
      <c r="H6" s="3">
        <v>10</v>
      </c>
      <c r="I6" s="4">
        <v>1.1200000000000001</v>
      </c>
      <c r="J6" s="4">
        <f t="shared" si="0"/>
        <v>0.35417509793885849</v>
      </c>
      <c r="K6" s="4">
        <v>4.72</v>
      </c>
      <c r="L6" s="3">
        <v>10</v>
      </c>
      <c r="M6" s="4">
        <v>1.05</v>
      </c>
      <c r="N6" s="4">
        <f t="shared" si="1"/>
        <v>0.33203915431767983</v>
      </c>
      <c r="O6" s="4">
        <f t="shared" si="2"/>
        <v>0.24347597994728512</v>
      </c>
      <c r="P6" s="4">
        <f t="shared" si="3"/>
        <v>1.4111632208677852E-2</v>
      </c>
      <c r="Q6" s="4" t="s">
        <v>288</v>
      </c>
      <c r="R6" s="3" t="s">
        <v>171</v>
      </c>
      <c r="S6" s="3" t="s">
        <v>221</v>
      </c>
      <c r="T6" s="3" t="s">
        <v>8</v>
      </c>
      <c r="U6" s="3" t="s">
        <v>337</v>
      </c>
      <c r="V6" s="3" t="s">
        <v>332</v>
      </c>
      <c r="W6" s="3" t="s">
        <v>360</v>
      </c>
      <c r="X6" s="3" t="s">
        <v>102</v>
      </c>
      <c r="Y6" s="3" t="s">
        <v>363</v>
      </c>
      <c r="Z6" s="3">
        <v>0</v>
      </c>
      <c r="AA6" s="3">
        <v>30</v>
      </c>
      <c r="AB6" s="11" t="s">
        <v>397</v>
      </c>
    </row>
    <row r="7" spans="1:28">
      <c r="A7" s="3" t="s">
        <v>7</v>
      </c>
      <c r="B7" s="3" t="s">
        <v>41</v>
      </c>
      <c r="C7" s="3">
        <v>6</v>
      </c>
      <c r="D7" s="3" t="s">
        <v>6</v>
      </c>
      <c r="E7" s="3">
        <v>1.9</v>
      </c>
      <c r="F7" s="3">
        <v>2018</v>
      </c>
      <c r="G7" s="4">
        <v>3.7</v>
      </c>
      <c r="H7" s="3">
        <v>10</v>
      </c>
      <c r="I7" s="4">
        <v>1.1200000000000001</v>
      </c>
      <c r="J7" s="4">
        <f t="shared" si="0"/>
        <v>0.35417509793885849</v>
      </c>
      <c r="K7" s="4">
        <v>5.25</v>
      </c>
      <c r="L7" s="3">
        <v>10</v>
      </c>
      <c r="M7" s="4">
        <v>1.1200000000000001</v>
      </c>
      <c r="N7" s="4">
        <f t="shared" si="1"/>
        <v>0.35417509793885849</v>
      </c>
      <c r="O7" s="4">
        <f t="shared" si="2"/>
        <v>0.34989525695335355</v>
      </c>
      <c r="P7" s="4">
        <f t="shared" si="3"/>
        <v>1.3714003733463194E-2</v>
      </c>
      <c r="Q7" s="4" t="s">
        <v>288</v>
      </c>
      <c r="R7" s="3" t="s">
        <v>171</v>
      </c>
      <c r="S7" s="3" t="s">
        <v>221</v>
      </c>
      <c r="T7" s="3" t="s">
        <v>8</v>
      </c>
      <c r="U7" s="3" t="s">
        <v>337</v>
      </c>
      <c r="V7" s="3" t="s">
        <v>332</v>
      </c>
      <c r="W7" s="3" t="s">
        <v>360</v>
      </c>
      <c r="X7" s="3" t="s">
        <v>102</v>
      </c>
      <c r="Y7" s="3" t="s">
        <v>363</v>
      </c>
      <c r="Z7" s="3">
        <v>0</v>
      </c>
      <c r="AA7" s="3">
        <v>30</v>
      </c>
      <c r="AB7" s="11" t="s">
        <v>397</v>
      </c>
    </row>
    <row r="8" spans="1:28">
      <c r="A8" s="3" t="s">
        <v>7</v>
      </c>
      <c r="B8" s="3" t="s">
        <v>41</v>
      </c>
      <c r="C8" s="3">
        <v>7</v>
      </c>
      <c r="D8" s="3" t="s">
        <v>6</v>
      </c>
      <c r="E8" s="3">
        <v>1.9</v>
      </c>
      <c r="F8" s="3">
        <v>2018</v>
      </c>
      <c r="G8" s="4">
        <v>3.61</v>
      </c>
      <c r="H8" s="3">
        <v>10</v>
      </c>
      <c r="I8" s="4">
        <v>0.92</v>
      </c>
      <c r="J8" s="4">
        <f t="shared" si="0"/>
        <v>0.29092954473549087</v>
      </c>
      <c r="K8" s="4">
        <v>3.03</v>
      </c>
      <c r="L8" s="3">
        <v>10</v>
      </c>
      <c r="M8" s="4">
        <v>0.92</v>
      </c>
      <c r="N8" s="4">
        <f t="shared" si="1"/>
        <v>0.29092954473549087</v>
      </c>
      <c r="O8" s="4">
        <f t="shared" si="2"/>
        <v>-0.17514515282351181</v>
      </c>
      <c r="P8" s="4">
        <f t="shared" si="3"/>
        <v>1.571387197384478E-2</v>
      </c>
      <c r="Q8" s="4" t="s">
        <v>288</v>
      </c>
      <c r="R8" s="3" t="s">
        <v>171</v>
      </c>
      <c r="S8" s="3" t="s">
        <v>221</v>
      </c>
      <c r="T8" s="3" t="s">
        <v>8</v>
      </c>
      <c r="U8" s="3" t="s">
        <v>337</v>
      </c>
      <c r="V8" s="3" t="s">
        <v>332</v>
      </c>
      <c r="W8" s="3" t="s">
        <v>360</v>
      </c>
      <c r="X8" s="3" t="s">
        <v>102</v>
      </c>
      <c r="Y8" s="3" t="s">
        <v>363</v>
      </c>
      <c r="Z8" s="3">
        <v>0</v>
      </c>
      <c r="AA8" s="3">
        <v>60</v>
      </c>
      <c r="AB8" s="11" t="s">
        <v>397</v>
      </c>
    </row>
    <row r="9" spans="1:28">
      <c r="A9" s="3" t="s">
        <v>7</v>
      </c>
      <c r="B9" s="3" t="s">
        <v>41</v>
      </c>
      <c r="C9" s="3">
        <v>8</v>
      </c>
      <c r="D9" s="3" t="s">
        <v>6</v>
      </c>
      <c r="E9" s="3">
        <v>1.9</v>
      </c>
      <c r="F9" s="3">
        <v>2018</v>
      </c>
      <c r="G9" s="4">
        <v>3.61</v>
      </c>
      <c r="H9" s="3">
        <v>10</v>
      </c>
      <c r="I9" s="4">
        <v>0.92</v>
      </c>
      <c r="J9" s="4">
        <f t="shared" si="0"/>
        <v>0.29092954473549087</v>
      </c>
      <c r="K9" s="4">
        <v>3.26</v>
      </c>
      <c r="L9" s="3">
        <v>10</v>
      </c>
      <c r="M9" s="4">
        <v>0.7</v>
      </c>
      <c r="N9" s="4">
        <f t="shared" si="1"/>
        <v>0.22135943621178653</v>
      </c>
      <c r="O9" s="4">
        <f t="shared" si="2"/>
        <v>-0.10198057696617335</v>
      </c>
      <c r="P9" s="4">
        <f t="shared" si="3"/>
        <v>1.11053686941092E-2</v>
      </c>
      <c r="Q9" s="4" t="s">
        <v>288</v>
      </c>
      <c r="R9" s="3" t="s">
        <v>171</v>
      </c>
      <c r="S9" s="3" t="s">
        <v>221</v>
      </c>
      <c r="T9" s="3" t="s">
        <v>8</v>
      </c>
      <c r="U9" s="3" t="s">
        <v>337</v>
      </c>
      <c r="V9" s="3" t="s">
        <v>332</v>
      </c>
      <c r="W9" s="3" t="s">
        <v>360</v>
      </c>
      <c r="X9" s="3" t="s">
        <v>102</v>
      </c>
      <c r="Y9" s="3" t="s">
        <v>363</v>
      </c>
      <c r="Z9" s="3">
        <v>0</v>
      </c>
      <c r="AA9" s="3">
        <v>60</v>
      </c>
      <c r="AB9" s="11" t="s">
        <v>397</v>
      </c>
    </row>
    <row r="10" spans="1:28">
      <c r="A10" s="3" t="s">
        <v>7</v>
      </c>
      <c r="B10" s="3" t="s">
        <v>41</v>
      </c>
      <c r="C10" s="3">
        <v>9</v>
      </c>
      <c r="D10" s="3" t="s">
        <v>6</v>
      </c>
      <c r="E10" s="3">
        <v>1.9</v>
      </c>
      <c r="F10" s="3">
        <v>2018</v>
      </c>
      <c r="G10" s="4">
        <v>3.61</v>
      </c>
      <c r="H10" s="3">
        <v>10</v>
      </c>
      <c r="I10" s="4">
        <v>0.92</v>
      </c>
      <c r="J10" s="4">
        <f t="shared" si="0"/>
        <v>0.29092954473549087</v>
      </c>
      <c r="K10" s="4">
        <v>4.5599999999999996</v>
      </c>
      <c r="L10" s="3">
        <v>10</v>
      </c>
      <c r="M10" s="4">
        <v>1.1599999999999999</v>
      </c>
      <c r="N10" s="4">
        <f t="shared" si="1"/>
        <v>0.36682420857953196</v>
      </c>
      <c r="O10" s="4">
        <f t="shared" si="2"/>
        <v>0.2336148511815051</v>
      </c>
      <c r="P10" s="4">
        <f t="shared" si="3"/>
        <v>1.2965954152524238E-2</v>
      </c>
      <c r="Q10" s="4" t="s">
        <v>288</v>
      </c>
      <c r="R10" s="3" t="s">
        <v>171</v>
      </c>
      <c r="S10" s="3" t="s">
        <v>221</v>
      </c>
      <c r="T10" s="3" t="s">
        <v>8</v>
      </c>
      <c r="U10" s="3" t="s">
        <v>337</v>
      </c>
      <c r="V10" s="3" t="s">
        <v>332</v>
      </c>
      <c r="W10" s="3" t="s">
        <v>360</v>
      </c>
      <c r="X10" s="3" t="s">
        <v>102</v>
      </c>
      <c r="Y10" s="3" t="s">
        <v>363</v>
      </c>
      <c r="Z10" s="3">
        <v>0</v>
      </c>
      <c r="AA10" s="3">
        <v>60</v>
      </c>
      <c r="AB10" s="11" t="s">
        <v>397</v>
      </c>
    </row>
    <row r="11" spans="1:28">
      <c r="A11" s="3" t="s">
        <v>49</v>
      </c>
      <c r="B11" s="3" t="s">
        <v>23</v>
      </c>
      <c r="C11" s="3">
        <v>1</v>
      </c>
      <c r="D11" s="3" t="s">
        <v>10</v>
      </c>
      <c r="E11" s="3">
        <v>1.2</v>
      </c>
      <c r="F11" s="3">
        <v>2010</v>
      </c>
      <c r="G11" s="4">
        <v>0.81499999999999995</v>
      </c>
      <c r="H11" s="3">
        <v>28</v>
      </c>
      <c r="I11" s="4">
        <f xml:space="preserve"> J11 * SQRT(H11)</f>
        <v>2.8047228660406933</v>
      </c>
      <c r="J11" s="4">
        <v>0.53004280000000004</v>
      </c>
      <c r="K11" s="4">
        <v>1.1214200000000001</v>
      </c>
      <c r="L11" s="3">
        <v>28</v>
      </c>
      <c r="M11" s="4">
        <f xml:space="preserve"> N11 * SQRT(L11)</f>
        <v>0.49715042925585362</v>
      </c>
      <c r="N11" s="4">
        <v>9.39525999999999E-2</v>
      </c>
      <c r="O11" s="4">
        <f t="shared" si="2"/>
        <v>0.31916290513896611</v>
      </c>
      <c r="P11" s="4">
        <f t="shared" si="3"/>
        <v>0.42998626525640038</v>
      </c>
      <c r="Q11" s="4" t="s">
        <v>295</v>
      </c>
      <c r="R11" s="3" t="s">
        <v>269</v>
      </c>
      <c r="S11" s="3" t="s">
        <v>221</v>
      </c>
      <c r="T11" s="3" t="s">
        <v>8</v>
      </c>
      <c r="U11" s="3" t="s">
        <v>337</v>
      </c>
      <c r="V11" s="3" t="s">
        <v>165</v>
      </c>
      <c r="W11" s="3" t="s">
        <v>360</v>
      </c>
      <c r="X11" s="3" t="s">
        <v>148</v>
      </c>
      <c r="Y11" s="3">
        <v>50</v>
      </c>
      <c r="Z11" s="3">
        <v>250</v>
      </c>
      <c r="AA11" s="3">
        <v>0</v>
      </c>
      <c r="AB11" s="11" t="s">
        <v>397</v>
      </c>
    </row>
    <row r="12" spans="1:28">
      <c r="A12" s="3" t="s">
        <v>49</v>
      </c>
      <c r="B12" s="3" t="s">
        <v>23</v>
      </c>
      <c r="C12" s="3">
        <v>2</v>
      </c>
      <c r="D12" s="3" t="s">
        <v>10</v>
      </c>
      <c r="E12" s="3">
        <v>1.2</v>
      </c>
      <c r="F12" s="3">
        <v>2010</v>
      </c>
      <c r="G12" s="4">
        <v>0.81499999999999995</v>
      </c>
      <c r="H12" s="3">
        <v>28</v>
      </c>
      <c r="I12" s="4">
        <f xml:space="preserve"> J12 * SQRT(H12)</f>
        <v>2.8047228660406933</v>
      </c>
      <c r="J12" s="4">
        <v>0.53004280000000004</v>
      </c>
      <c r="K12" s="4">
        <v>0.78829000000000005</v>
      </c>
      <c r="L12" s="3">
        <v>28</v>
      </c>
      <c r="M12" s="4">
        <f xml:space="preserve"> N12 * SQRT(L12)</f>
        <v>1.534907223901536</v>
      </c>
      <c r="N12" s="4">
        <v>0.2900702</v>
      </c>
      <c r="O12" s="4">
        <f t="shared" si="2"/>
        <v>-3.3322070781277087E-2</v>
      </c>
      <c r="P12" s="4">
        <f t="shared" si="3"/>
        <v>0.55837201385539681</v>
      </c>
      <c r="Q12" s="4" t="s">
        <v>295</v>
      </c>
      <c r="R12" s="3" t="s">
        <v>269</v>
      </c>
      <c r="S12" s="3" t="s">
        <v>221</v>
      </c>
      <c r="T12" s="3" t="s">
        <v>8</v>
      </c>
      <c r="U12" s="3" t="s">
        <v>337</v>
      </c>
      <c r="V12" s="3" t="s">
        <v>165</v>
      </c>
      <c r="W12" s="3" t="s">
        <v>360</v>
      </c>
      <c r="X12" s="3" t="s">
        <v>148</v>
      </c>
      <c r="Y12" s="3">
        <v>75</v>
      </c>
      <c r="Z12" s="3">
        <v>250</v>
      </c>
      <c r="AA12" s="3">
        <v>0</v>
      </c>
      <c r="AB12" s="11" t="s">
        <v>397</v>
      </c>
    </row>
    <row r="13" spans="1:28">
      <c r="A13" s="3" t="s">
        <v>49</v>
      </c>
      <c r="B13" s="3" t="s">
        <v>23</v>
      </c>
      <c r="C13" s="3">
        <v>3</v>
      </c>
      <c r="D13" s="3" t="s">
        <v>10</v>
      </c>
      <c r="E13" s="3">
        <v>1.2</v>
      </c>
      <c r="F13" s="3">
        <v>2010</v>
      </c>
      <c r="G13" s="4">
        <v>0.81499999999999995</v>
      </c>
      <c r="H13" s="3">
        <v>28</v>
      </c>
      <c r="I13" s="4">
        <f xml:space="preserve"> J13 * SQRT(H13)</f>
        <v>2.8047228660406933</v>
      </c>
      <c r="J13" s="4">
        <v>0.53004280000000004</v>
      </c>
      <c r="K13" s="4">
        <v>0.91249000000000002</v>
      </c>
      <c r="L13" s="3">
        <v>28</v>
      </c>
      <c r="M13" s="4">
        <f xml:space="preserve"> N13 * SQRT(L13)</f>
        <v>0.45841345516029525</v>
      </c>
      <c r="N13" s="4">
        <v>8.6632000000000001E-2</v>
      </c>
      <c r="O13" s="4">
        <f t="shared" si="2"/>
        <v>0.1129890132516251</v>
      </c>
      <c r="P13" s="4">
        <f t="shared" si="3"/>
        <v>0.43198081710845015</v>
      </c>
      <c r="Q13" s="4" t="s">
        <v>295</v>
      </c>
      <c r="R13" s="3" t="s">
        <v>269</v>
      </c>
      <c r="S13" s="3" t="s">
        <v>221</v>
      </c>
      <c r="T13" s="3" t="s">
        <v>8</v>
      </c>
      <c r="U13" s="3" t="s">
        <v>337</v>
      </c>
      <c r="V13" s="3" t="s">
        <v>333</v>
      </c>
      <c r="W13" s="3" t="s">
        <v>360</v>
      </c>
      <c r="X13" s="3" t="s">
        <v>148</v>
      </c>
      <c r="Y13" s="3">
        <v>100</v>
      </c>
      <c r="Z13" s="3">
        <v>250</v>
      </c>
      <c r="AA13" s="3">
        <v>0</v>
      </c>
      <c r="AB13" s="11" t="s">
        <v>397</v>
      </c>
    </row>
    <row r="14" spans="1:28">
      <c r="A14" s="3" t="s">
        <v>95</v>
      </c>
      <c r="B14" s="3" t="s">
        <v>24</v>
      </c>
      <c r="C14" s="3">
        <v>1</v>
      </c>
      <c r="D14" s="3" t="s">
        <v>17</v>
      </c>
      <c r="E14" s="3">
        <v>4.7</v>
      </c>
      <c r="F14" s="3">
        <v>2013</v>
      </c>
      <c r="G14" s="4">
        <v>0.49365333333333333</v>
      </c>
      <c r="H14" s="3">
        <v>6</v>
      </c>
      <c r="I14" s="4">
        <v>0.1490239082384657</v>
      </c>
      <c r="J14" s="4">
        <f t="shared" ref="J14:J36" si="4">I14 / SQRT(H14)</f>
        <v>6.0838755776597218E-2</v>
      </c>
      <c r="K14" s="4">
        <v>2.9408166666666671</v>
      </c>
      <c r="L14" s="3">
        <v>6</v>
      </c>
      <c r="M14" s="4">
        <v>0.74781715000000004</v>
      </c>
      <c r="N14" s="4">
        <f t="shared" ref="N14:N36" si="5">M14 / SQRT(L14)</f>
        <v>0.30529507306705828</v>
      </c>
      <c r="O14" s="4">
        <f t="shared" si="2"/>
        <v>1.7846090830803087</v>
      </c>
      <c r="P14" s="4">
        <f t="shared" si="3"/>
        <v>2.5965700530520615E-2</v>
      </c>
      <c r="Q14" s="4" t="s">
        <v>290</v>
      </c>
      <c r="R14" s="3" t="s">
        <v>96</v>
      </c>
      <c r="S14" s="3" t="s">
        <v>221</v>
      </c>
      <c r="T14" s="3" t="s">
        <v>134</v>
      </c>
      <c r="U14" s="3" t="s">
        <v>165</v>
      </c>
      <c r="V14" s="3" t="s">
        <v>332</v>
      </c>
      <c r="W14" s="3" t="s">
        <v>112</v>
      </c>
      <c r="X14" s="3" t="s">
        <v>99</v>
      </c>
      <c r="Y14" s="3" t="s">
        <v>363</v>
      </c>
      <c r="Z14" s="3">
        <v>18</v>
      </c>
      <c r="AA14" s="3">
        <v>0</v>
      </c>
      <c r="AB14" s="11" t="s">
        <v>397</v>
      </c>
    </row>
    <row r="15" spans="1:28">
      <c r="A15" s="3" t="s">
        <v>18</v>
      </c>
      <c r="B15" s="3" t="s">
        <v>25</v>
      </c>
      <c r="C15" s="3">
        <v>1</v>
      </c>
      <c r="D15" s="3" t="s">
        <v>19</v>
      </c>
      <c r="E15" s="3">
        <v>5.5</v>
      </c>
      <c r="F15" s="3">
        <v>2018</v>
      </c>
      <c r="G15" s="4">
        <v>51.87021</v>
      </c>
      <c r="H15" s="3">
        <v>9</v>
      </c>
      <c r="I15" s="4">
        <v>8.6014899999999983</v>
      </c>
      <c r="J15" s="4">
        <f t="shared" si="4"/>
        <v>2.8671633333333326</v>
      </c>
      <c r="K15" s="4">
        <v>55.260590000000001</v>
      </c>
      <c r="L15" s="3">
        <v>9</v>
      </c>
      <c r="M15" s="4">
        <v>9.5570999999999984</v>
      </c>
      <c r="N15" s="4">
        <f t="shared" si="5"/>
        <v>3.1856999999999993</v>
      </c>
      <c r="O15" s="4">
        <f t="shared" si="2"/>
        <v>6.3315359300743598E-2</v>
      </c>
      <c r="P15" s="4">
        <f t="shared" si="3"/>
        <v>6.3787756572170132E-3</v>
      </c>
      <c r="Q15" s="4" t="s">
        <v>292</v>
      </c>
      <c r="R15" s="3" t="s">
        <v>175</v>
      </c>
      <c r="S15" s="3" t="s">
        <v>221</v>
      </c>
      <c r="T15" s="3" t="s">
        <v>97</v>
      </c>
      <c r="U15" s="3" t="s">
        <v>336</v>
      </c>
      <c r="V15" s="3" t="s">
        <v>332</v>
      </c>
      <c r="W15" s="3" t="s">
        <v>360</v>
      </c>
      <c r="X15" s="3" t="s">
        <v>148</v>
      </c>
      <c r="Y15" s="3">
        <v>33</v>
      </c>
      <c r="Z15" s="3">
        <v>0</v>
      </c>
      <c r="AA15" s="3">
        <v>4</v>
      </c>
      <c r="AB15" s="11" t="s">
        <v>397</v>
      </c>
    </row>
    <row r="16" spans="1:28">
      <c r="A16" s="3" t="s">
        <v>18</v>
      </c>
      <c r="B16" s="3" t="s">
        <v>25</v>
      </c>
      <c r="C16" s="3">
        <v>2</v>
      </c>
      <c r="D16" s="3" t="s">
        <v>19</v>
      </c>
      <c r="E16" s="3">
        <v>5.5</v>
      </c>
      <c r="F16" s="3">
        <v>2018</v>
      </c>
      <c r="G16" s="4">
        <v>25.75262</v>
      </c>
      <c r="H16" s="3">
        <v>9</v>
      </c>
      <c r="I16" s="4">
        <v>7.4154499999999999</v>
      </c>
      <c r="J16" s="4">
        <f t="shared" si="4"/>
        <v>2.4718166666666668</v>
      </c>
      <c r="K16" s="4">
        <v>31.956130000000002</v>
      </c>
      <c r="L16" s="3">
        <v>9</v>
      </c>
      <c r="M16" s="4">
        <v>11.14141</v>
      </c>
      <c r="N16" s="4">
        <f t="shared" si="5"/>
        <v>3.7138033333333333</v>
      </c>
      <c r="O16" s="4">
        <f t="shared" si="2"/>
        <v>0.21582765519852204</v>
      </c>
      <c r="P16" s="4">
        <f t="shared" si="3"/>
        <v>2.2718842165569821E-2</v>
      </c>
      <c r="Q16" s="4" t="s">
        <v>292</v>
      </c>
      <c r="R16" s="3" t="s">
        <v>175</v>
      </c>
      <c r="S16" s="3" t="s">
        <v>221</v>
      </c>
      <c r="T16" s="3" t="s">
        <v>8</v>
      </c>
      <c r="U16" s="3" t="s">
        <v>335</v>
      </c>
      <c r="V16" s="3" t="s">
        <v>332</v>
      </c>
      <c r="W16" s="3" t="s">
        <v>360</v>
      </c>
      <c r="X16" s="3" t="s">
        <v>148</v>
      </c>
      <c r="Y16" s="3">
        <v>33</v>
      </c>
      <c r="Z16" s="3">
        <v>0</v>
      </c>
      <c r="AA16" s="3">
        <v>4</v>
      </c>
      <c r="AB16" s="11" t="s">
        <v>397</v>
      </c>
    </row>
    <row r="17" spans="1:28">
      <c r="A17" s="3" t="s">
        <v>20</v>
      </c>
      <c r="B17" s="3" t="s">
        <v>26</v>
      </c>
      <c r="C17" s="3">
        <v>1</v>
      </c>
      <c r="D17" s="3" t="s">
        <v>21</v>
      </c>
      <c r="E17" s="3">
        <v>6.1</v>
      </c>
      <c r="F17" s="3">
        <v>2012</v>
      </c>
      <c r="G17" s="4">
        <v>1.7034499999999999</v>
      </c>
      <c r="H17" s="3">
        <v>8</v>
      </c>
      <c r="I17" s="4">
        <v>0.16270000000000007</v>
      </c>
      <c r="J17" s="4">
        <f t="shared" si="4"/>
        <v>5.7523136649525658E-2</v>
      </c>
      <c r="K17" s="4">
        <v>2.49674</v>
      </c>
      <c r="L17" s="3">
        <v>8</v>
      </c>
      <c r="M17" s="4">
        <v>0.1463000000000001</v>
      </c>
      <c r="N17" s="4">
        <f t="shared" si="5"/>
        <v>5.1724861043795985E-2</v>
      </c>
      <c r="O17" s="4">
        <f t="shared" si="2"/>
        <v>0.38233027457367774</v>
      </c>
      <c r="P17" s="4">
        <f t="shared" si="3"/>
        <v>1.5695113438418452E-3</v>
      </c>
      <c r="Q17" s="4" t="s">
        <v>290</v>
      </c>
      <c r="R17" s="3" t="s">
        <v>96</v>
      </c>
      <c r="S17" s="3" t="s">
        <v>221</v>
      </c>
      <c r="T17" s="3" t="s">
        <v>97</v>
      </c>
      <c r="U17" s="3" t="s">
        <v>165</v>
      </c>
      <c r="V17" s="3" t="s">
        <v>165</v>
      </c>
      <c r="W17" s="3" t="s">
        <v>360</v>
      </c>
      <c r="X17" s="3" t="s">
        <v>148</v>
      </c>
      <c r="Y17" s="3">
        <v>25</v>
      </c>
      <c r="Z17" s="3">
        <v>0</v>
      </c>
      <c r="AA17" s="3">
        <v>11</v>
      </c>
      <c r="AB17" s="11" t="s">
        <v>397</v>
      </c>
    </row>
    <row r="18" spans="1:28">
      <c r="A18" s="3" t="s">
        <v>20</v>
      </c>
      <c r="B18" s="3" t="s">
        <v>26</v>
      </c>
      <c r="C18" s="3">
        <v>2</v>
      </c>
      <c r="D18" s="3" t="s">
        <v>21</v>
      </c>
      <c r="E18" s="3">
        <v>6.1</v>
      </c>
      <c r="F18" s="3">
        <v>2012</v>
      </c>
      <c r="G18" s="4">
        <v>1.7034499999999999</v>
      </c>
      <c r="H18" s="3">
        <v>8</v>
      </c>
      <c r="I18" s="4">
        <v>0.16270000000000007</v>
      </c>
      <c r="J18" s="4">
        <f t="shared" si="4"/>
        <v>5.7523136649525658E-2</v>
      </c>
      <c r="K18" s="4">
        <v>2.1215799999999998</v>
      </c>
      <c r="L18" s="3">
        <v>8</v>
      </c>
      <c r="M18" s="4">
        <v>0.19246000000000008</v>
      </c>
      <c r="N18" s="4">
        <f t="shared" si="5"/>
        <v>6.8044885553581486E-2</v>
      </c>
      <c r="O18" s="4">
        <f t="shared" si="2"/>
        <v>0.21950548776467155</v>
      </c>
      <c r="P18" s="4">
        <f t="shared" si="3"/>
        <v>2.1689796461252381E-3</v>
      </c>
      <c r="Q18" s="4" t="s">
        <v>290</v>
      </c>
      <c r="R18" s="3" t="s">
        <v>96</v>
      </c>
      <c r="S18" s="3" t="s">
        <v>221</v>
      </c>
      <c r="T18" s="3" t="s">
        <v>97</v>
      </c>
      <c r="U18" s="3" t="s">
        <v>165</v>
      </c>
      <c r="V18" s="3" t="s">
        <v>165</v>
      </c>
      <c r="W18" s="3" t="s">
        <v>112</v>
      </c>
      <c r="X18" s="3" t="s">
        <v>98</v>
      </c>
      <c r="Y18" s="3">
        <v>25</v>
      </c>
      <c r="Z18" s="3">
        <v>2.5</v>
      </c>
      <c r="AA18" s="3">
        <v>11</v>
      </c>
      <c r="AB18" s="11" t="s">
        <v>397</v>
      </c>
    </row>
    <row r="19" spans="1:28">
      <c r="A19" s="3" t="s">
        <v>20</v>
      </c>
      <c r="B19" s="3" t="s">
        <v>26</v>
      </c>
      <c r="C19" s="3">
        <v>3</v>
      </c>
      <c r="D19" s="3" t="s">
        <v>21</v>
      </c>
      <c r="E19" s="3">
        <v>6.1</v>
      </c>
      <c r="F19" s="3">
        <v>2012</v>
      </c>
      <c r="G19" s="4">
        <v>1.7034499999999999</v>
      </c>
      <c r="H19" s="3">
        <v>8</v>
      </c>
      <c r="I19" s="4">
        <v>0.16270000000000007</v>
      </c>
      <c r="J19" s="4">
        <f t="shared" si="4"/>
        <v>5.7523136649525658E-2</v>
      </c>
      <c r="K19" s="4">
        <v>2.5114999999999998</v>
      </c>
      <c r="L19" s="3">
        <v>8</v>
      </c>
      <c r="M19" s="4">
        <v>0.3200400000000001</v>
      </c>
      <c r="N19" s="4">
        <f t="shared" si="5"/>
        <v>0.11315122712547136</v>
      </c>
      <c r="O19" s="4">
        <f t="shared" si="2"/>
        <v>0.38822457785532283</v>
      </c>
      <c r="P19" s="4">
        <f t="shared" si="3"/>
        <v>3.1701139076922907E-3</v>
      </c>
      <c r="Q19" s="4" t="s">
        <v>290</v>
      </c>
      <c r="R19" s="3" t="s">
        <v>96</v>
      </c>
      <c r="S19" s="3" t="s">
        <v>221</v>
      </c>
      <c r="T19" s="3" t="s">
        <v>97</v>
      </c>
      <c r="U19" s="3" t="s">
        <v>165</v>
      </c>
      <c r="V19" s="3" t="s">
        <v>165</v>
      </c>
      <c r="W19" s="3" t="s">
        <v>112</v>
      </c>
      <c r="X19" s="3" t="s">
        <v>98</v>
      </c>
      <c r="Y19" s="3">
        <v>25</v>
      </c>
      <c r="Z19" s="3">
        <v>2.5</v>
      </c>
      <c r="AA19" s="3">
        <v>11</v>
      </c>
      <c r="AB19" s="11" t="s">
        <v>397</v>
      </c>
    </row>
    <row r="20" spans="1:28">
      <c r="A20" s="3" t="s">
        <v>20</v>
      </c>
      <c r="B20" s="3" t="s">
        <v>26</v>
      </c>
      <c r="C20" s="3">
        <v>4</v>
      </c>
      <c r="D20" s="3" t="s">
        <v>21</v>
      </c>
      <c r="E20" s="3">
        <v>6.1</v>
      </c>
      <c r="F20" s="3">
        <v>2012</v>
      </c>
      <c r="G20" s="4">
        <v>1.7034499999999999</v>
      </c>
      <c r="H20" s="3">
        <v>8</v>
      </c>
      <c r="I20" s="4">
        <v>0.16270000000000007</v>
      </c>
      <c r="J20" s="4">
        <f t="shared" si="4"/>
        <v>5.7523136649525658E-2</v>
      </c>
      <c r="K20" s="4">
        <v>2.7842799999999999</v>
      </c>
      <c r="L20" s="3">
        <v>8</v>
      </c>
      <c r="M20" s="4">
        <v>0.28381999999999996</v>
      </c>
      <c r="N20" s="4">
        <f t="shared" si="5"/>
        <v>0.10034552331818294</v>
      </c>
      <c r="O20" s="4">
        <f t="shared" si="2"/>
        <v>0.49133370577487995</v>
      </c>
      <c r="P20" s="4">
        <f t="shared" si="3"/>
        <v>2.4392024068685646E-3</v>
      </c>
      <c r="Q20" s="4" t="s">
        <v>290</v>
      </c>
      <c r="R20" s="3" t="s">
        <v>96</v>
      </c>
      <c r="S20" s="3" t="s">
        <v>221</v>
      </c>
      <c r="T20" s="3" t="s">
        <v>97</v>
      </c>
      <c r="U20" s="3" t="s">
        <v>165</v>
      </c>
      <c r="V20" s="3" t="s">
        <v>165</v>
      </c>
      <c r="W20" s="3" t="s">
        <v>112</v>
      </c>
      <c r="X20" s="3" t="s">
        <v>99</v>
      </c>
      <c r="Y20" s="3">
        <v>25</v>
      </c>
      <c r="Z20" s="3">
        <v>2.5</v>
      </c>
      <c r="AA20" s="3">
        <v>11</v>
      </c>
      <c r="AB20" s="11" t="s">
        <v>397</v>
      </c>
    </row>
    <row r="21" spans="1:28">
      <c r="A21" s="3" t="s">
        <v>20</v>
      </c>
      <c r="B21" s="3" t="s">
        <v>26</v>
      </c>
      <c r="C21" s="3">
        <v>5</v>
      </c>
      <c r="D21" s="3" t="s">
        <v>21</v>
      </c>
      <c r="E21" s="3">
        <v>6.1</v>
      </c>
      <c r="F21" s="3">
        <v>2012</v>
      </c>
      <c r="G21" s="4">
        <v>3.3901599999999998</v>
      </c>
      <c r="H21" s="3">
        <v>8</v>
      </c>
      <c r="I21" s="4">
        <v>0.18049999999999988</v>
      </c>
      <c r="J21" s="4">
        <f t="shared" si="4"/>
        <v>6.3816387002085861E-2</v>
      </c>
      <c r="K21" s="4">
        <v>3.38348</v>
      </c>
      <c r="L21" s="3">
        <v>8</v>
      </c>
      <c r="M21" s="4">
        <v>0.12139999999999995</v>
      </c>
      <c r="N21" s="4">
        <f t="shared" si="5"/>
        <v>4.2921381618023412E-2</v>
      </c>
      <c r="O21" s="4">
        <f t="shared" si="2"/>
        <v>-1.9723522848954381E-3</v>
      </c>
      <c r="P21" s="4">
        <f t="shared" si="3"/>
        <v>5.1526689984575142E-4</v>
      </c>
      <c r="Q21" s="4" t="s">
        <v>290</v>
      </c>
      <c r="R21" s="3" t="s">
        <v>96</v>
      </c>
      <c r="S21" s="3" t="s">
        <v>221</v>
      </c>
      <c r="T21" s="3" t="s">
        <v>97</v>
      </c>
      <c r="U21" s="3" t="s">
        <v>165</v>
      </c>
      <c r="V21" s="3" t="s">
        <v>165</v>
      </c>
      <c r="W21" s="3" t="s">
        <v>360</v>
      </c>
      <c r="X21" s="3" t="s">
        <v>148</v>
      </c>
      <c r="Y21" s="3">
        <v>25</v>
      </c>
      <c r="Z21" s="3">
        <v>0</v>
      </c>
      <c r="AA21" s="3">
        <v>11</v>
      </c>
      <c r="AB21" s="11" t="s">
        <v>397</v>
      </c>
    </row>
    <row r="22" spans="1:28">
      <c r="A22" s="3" t="s">
        <v>20</v>
      </c>
      <c r="B22" s="3" t="s">
        <v>26</v>
      </c>
      <c r="C22" s="3">
        <v>6</v>
      </c>
      <c r="D22" s="3" t="s">
        <v>21</v>
      </c>
      <c r="E22" s="3">
        <v>6.1</v>
      </c>
      <c r="F22" s="3">
        <v>2012</v>
      </c>
      <c r="G22" s="4">
        <v>3.3901599999999998</v>
      </c>
      <c r="H22" s="3">
        <v>8</v>
      </c>
      <c r="I22" s="4">
        <v>0.18049999999999988</v>
      </c>
      <c r="J22" s="4">
        <f t="shared" si="4"/>
        <v>6.3816387002085861E-2</v>
      </c>
      <c r="K22" s="4">
        <v>3.3884500000000002</v>
      </c>
      <c r="L22" s="3">
        <v>8</v>
      </c>
      <c r="M22" s="4">
        <v>0.28872000000000009</v>
      </c>
      <c r="N22" s="4">
        <f t="shared" si="5"/>
        <v>0.10207793493209003</v>
      </c>
      <c r="O22" s="4">
        <f t="shared" si="2"/>
        <v>-5.0452822518857402E-4</v>
      </c>
      <c r="P22" s="4">
        <f t="shared" si="3"/>
        <v>1.2618743932820565E-3</v>
      </c>
      <c r="Q22" s="4" t="s">
        <v>290</v>
      </c>
      <c r="R22" s="3" t="s">
        <v>96</v>
      </c>
      <c r="S22" s="3" t="s">
        <v>221</v>
      </c>
      <c r="T22" s="3" t="s">
        <v>97</v>
      </c>
      <c r="U22" s="3" t="s">
        <v>165</v>
      </c>
      <c r="V22" s="3" t="s">
        <v>165</v>
      </c>
      <c r="W22" s="3" t="s">
        <v>112</v>
      </c>
      <c r="X22" s="3" t="s">
        <v>98</v>
      </c>
      <c r="Y22" s="3">
        <v>25</v>
      </c>
      <c r="Z22" s="3">
        <v>2.5</v>
      </c>
      <c r="AA22" s="3">
        <v>11</v>
      </c>
      <c r="AB22" s="11" t="s">
        <v>397</v>
      </c>
    </row>
    <row r="23" spans="1:28">
      <c r="A23" s="3" t="s">
        <v>20</v>
      </c>
      <c r="B23" s="3" t="s">
        <v>26</v>
      </c>
      <c r="C23" s="3">
        <v>7</v>
      </c>
      <c r="D23" s="3" t="s">
        <v>21</v>
      </c>
      <c r="E23" s="3">
        <v>6.1</v>
      </c>
      <c r="F23" s="3">
        <v>2012</v>
      </c>
      <c r="G23" s="4">
        <v>3.3901599999999998</v>
      </c>
      <c r="H23" s="3">
        <v>8</v>
      </c>
      <c r="I23" s="4">
        <v>0.18049999999999988</v>
      </c>
      <c r="J23" s="4">
        <f t="shared" si="4"/>
        <v>6.3816387002085861E-2</v>
      </c>
      <c r="K23" s="4">
        <v>3.45655</v>
      </c>
      <c r="L23" s="3">
        <v>8</v>
      </c>
      <c r="M23" s="4">
        <v>0.30902999999999992</v>
      </c>
      <c r="N23" s="4">
        <f t="shared" si="5"/>
        <v>0.10925860429503935</v>
      </c>
      <c r="O23" s="4">
        <f t="shared" si="2"/>
        <v>1.9393863879637978E-2</v>
      </c>
      <c r="P23" s="4">
        <f t="shared" si="3"/>
        <v>1.3534814507163661E-3</v>
      </c>
      <c r="Q23" s="4" t="s">
        <v>290</v>
      </c>
      <c r="R23" s="3" t="s">
        <v>96</v>
      </c>
      <c r="S23" s="3" t="s">
        <v>221</v>
      </c>
      <c r="T23" s="3" t="s">
        <v>97</v>
      </c>
      <c r="U23" s="3" t="s">
        <v>165</v>
      </c>
      <c r="V23" s="3" t="s">
        <v>165</v>
      </c>
      <c r="W23" s="3" t="s">
        <v>112</v>
      </c>
      <c r="X23" s="3" t="s">
        <v>98</v>
      </c>
      <c r="Y23" s="3">
        <v>25</v>
      </c>
      <c r="Z23" s="3">
        <v>2.5</v>
      </c>
      <c r="AA23" s="3">
        <v>11</v>
      </c>
      <c r="AB23" s="11" t="s">
        <v>397</v>
      </c>
    </row>
    <row r="24" spans="1:28">
      <c r="A24" s="3" t="s">
        <v>20</v>
      </c>
      <c r="B24" s="3" t="s">
        <v>26</v>
      </c>
      <c r="C24" s="3">
        <v>8</v>
      </c>
      <c r="D24" s="3" t="s">
        <v>21</v>
      </c>
      <c r="E24" s="3">
        <v>6.1</v>
      </c>
      <c r="F24" s="3">
        <v>2012</v>
      </c>
      <c r="G24" s="4">
        <v>3.3901599999999998</v>
      </c>
      <c r="H24" s="3">
        <v>8</v>
      </c>
      <c r="I24" s="4">
        <v>0.18049999999999988</v>
      </c>
      <c r="J24" s="4">
        <f t="shared" si="4"/>
        <v>6.3816387002085861E-2</v>
      </c>
      <c r="K24" s="4">
        <v>4.01004</v>
      </c>
      <c r="L24" s="3">
        <v>8</v>
      </c>
      <c r="M24" s="4">
        <v>0.19313999999999965</v>
      </c>
      <c r="N24" s="4">
        <f t="shared" si="5"/>
        <v>6.8285301859184758E-2</v>
      </c>
      <c r="O24" s="4">
        <f t="shared" si="2"/>
        <v>0.16792409841236811</v>
      </c>
      <c r="P24" s="4">
        <f t="shared" si="3"/>
        <v>6.4431580787366988E-4</v>
      </c>
      <c r="Q24" s="4" t="s">
        <v>290</v>
      </c>
      <c r="R24" s="3" t="s">
        <v>96</v>
      </c>
      <c r="S24" s="3" t="s">
        <v>221</v>
      </c>
      <c r="T24" s="3" t="s">
        <v>97</v>
      </c>
      <c r="U24" s="3" t="s">
        <v>165</v>
      </c>
      <c r="V24" s="3" t="s">
        <v>165</v>
      </c>
      <c r="W24" s="3" t="s">
        <v>112</v>
      </c>
      <c r="X24" s="3" t="s">
        <v>99</v>
      </c>
      <c r="Y24" s="3">
        <v>25</v>
      </c>
      <c r="Z24" s="3">
        <v>2.5</v>
      </c>
      <c r="AA24" s="3">
        <v>11</v>
      </c>
      <c r="AB24" s="11" t="s">
        <v>397</v>
      </c>
    </row>
    <row r="25" spans="1:28">
      <c r="A25" s="3" t="s">
        <v>20</v>
      </c>
      <c r="B25" s="3" t="s">
        <v>26</v>
      </c>
      <c r="C25" s="3">
        <v>9</v>
      </c>
      <c r="D25" s="3" t="s">
        <v>21</v>
      </c>
      <c r="E25" s="3">
        <v>6.1</v>
      </c>
      <c r="F25" s="3">
        <v>2012</v>
      </c>
      <c r="G25" s="4">
        <v>0.73656999999999995</v>
      </c>
      <c r="H25" s="3">
        <v>8</v>
      </c>
      <c r="I25" s="4">
        <v>8.8329999999999909E-2</v>
      </c>
      <c r="J25" s="4">
        <f t="shared" si="4"/>
        <v>3.1229370991103837E-2</v>
      </c>
      <c r="K25" s="4">
        <v>1.4312400000000001</v>
      </c>
      <c r="L25" s="3">
        <v>8</v>
      </c>
      <c r="M25" s="4">
        <v>8.8829999999999965E-2</v>
      </c>
      <c r="N25" s="4">
        <f t="shared" si="5"/>
        <v>3.1406147686400494E-2</v>
      </c>
      <c r="O25" s="4">
        <f t="shared" si="2"/>
        <v>0.66429220486466933</v>
      </c>
      <c r="P25" s="4">
        <f t="shared" si="3"/>
        <v>2.2791311904480373E-3</v>
      </c>
      <c r="Q25" s="4" t="s">
        <v>290</v>
      </c>
      <c r="R25" s="3" t="s">
        <v>96</v>
      </c>
      <c r="S25" s="3" t="s">
        <v>221</v>
      </c>
      <c r="T25" s="3" t="s">
        <v>97</v>
      </c>
      <c r="U25" s="3" t="s">
        <v>165</v>
      </c>
      <c r="V25" s="3" t="s">
        <v>165</v>
      </c>
      <c r="W25" s="3" t="s">
        <v>360</v>
      </c>
      <c r="X25" s="3" t="s">
        <v>148</v>
      </c>
      <c r="Y25" s="3">
        <v>25</v>
      </c>
      <c r="Z25" s="3">
        <v>0</v>
      </c>
      <c r="AA25" s="3">
        <v>11</v>
      </c>
      <c r="AB25" s="11" t="s">
        <v>397</v>
      </c>
    </row>
    <row r="26" spans="1:28">
      <c r="A26" s="3" t="s">
        <v>20</v>
      </c>
      <c r="B26" s="3" t="s">
        <v>26</v>
      </c>
      <c r="C26" s="3">
        <v>10</v>
      </c>
      <c r="D26" s="3" t="s">
        <v>21</v>
      </c>
      <c r="E26" s="3">
        <v>6.1</v>
      </c>
      <c r="F26" s="3">
        <v>2012</v>
      </c>
      <c r="G26" s="4">
        <v>0.73656999999999995</v>
      </c>
      <c r="H26" s="3">
        <v>8</v>
      </c>
      <c r="I26" s="4">
        <v>8.8329999999999909E-2</v>
      </c>
      <c r="J26" s="4">
        <f t="shared" si="4"/>
        <v>3.1229370991103837E-2</v>
      </c>
      <c r="K26" s="4">
        <v>2.22384</v>
      </c>
      <c r="L26" s="3">
        <v>8</v>
      </c>
      <c r="M26" s="4">
        <v>0.23216999999999999</v>
      </c>
      <c r="N26" s="4">
        <f t="shared" si="5"/>
        <v>8.2084490694040363E-2</v>
      </c>
      <c r="O26" s="4">
        <f t="shared" si="2"/>
        <v>1.1049864348225393</v>
      </c>
      <c r="P26" s="4">
        <f t="shared" si="3"/>
        <v>3.16005515020416E-3</v>
      </c>
      <c r="Q26" s="4" t="s">
        <v>290</v>
      </c>
      <c r="R26" s="3" t="s">
        <v>96</v>
      </c>
      <c r="S26" s="3" t="s">
        <v>221</v>
      </c>
      <c r="T26" s="3" t="s">
        <v>97</v>
      </c>
      <c r="U26" s="3" t="s">
        <v>165</v>
      </c>
      <c r="V26" s="3" t="s">
        <v>165</v>
      </c>
      <c r="W26" s="3" t="s">
        <v>112</v>
      </c>
      <c r="X26" s="3" t="s">
        <v>98</v>
      </c>
      <c r="Y26" s="3">
        <v>25</v>
      </c>
      <c r="Z26" s="3">
        <v>2.5</v>
      </c>
      <c r="AA26" s="3">
        <v>11</v>
      </c>
      <c r="AB26" s="11" t="s">
        <v>397</v>
      </c>
    </row>
    <row r="27" spans="1:28">
      <c r="A27" s="3" t="s">
        <v>20</v>
      </c>
      <c r="B27" s="3" t="s">
        <v>26</v>
      </c>
      <c r="C27" s="3">
        <v>11</v>
      </c>
      <c r="D27" s="3" t="s">
        <v>21</v>
      </c>
      <c r="E27" s="3">
        <v>6.1</v>
      </c>
      <c r="F27" s="3">
        <v>2012</v>
      </c>
      <c r="G27" s="4">
        <v>0.73656999999999995</v>
      </c>
      <c r="H27" s="3">
        <v>8</v>
      </c>
      <c r="I27" s="4">
        <v>8.8329999999999909E-2</v>
      </c>
      <c r="J27" s="4">
        <f t="shared" si="4"/>
        <v>3.1229370991103837E-2</v>
      </c>
      <c r="K27" s="4">
        <v>2.2640799999999999</v>
      </c>
      <c r="L27" s="3">
        <v>8</v>
      </c>
      <c r="M27" s="4">
        <v>0.20255000000000001</v>
      </c>
      <c r="N27" s="4">
        <f t="shared" si="5"/>
        <v>7.1612239264667601E-2</v>
      </c>
      <c r="O27" s="4">
        <f t="shared" si="2"/>
        <v>1.12291949887392</v>
      </c>
      <c r="P27" s="4">
        <f t="shared" si="3"/>
        <v>2.798062017644579E-3</v>
      </c>
      <c r="Q27" s="4" t="s">
        <v>290</v>
      </c>
      <c r="R27" s="3" t="s">
        <v>96</v>
      </c>
      <c r="S27" s="3" t="s">
        <v>221</v>
      </c>
      <c r="T27" s="3" t="s">
        <v>97</v>
      </c>
      <c r="U27" s="3" t="s">
        <v>165</v>
      </c>
      <c r="V27" s="3" t="s">
        <v>165</v>
      </c>
      <c r="W27" s="3" t="s">
        <v>112</v>
      </c>
      <c r="X27" s="3" t="s">
        <v>98</v>
      </c>
      <c r="Y27" s="3">
        <v>25</v>
      </c>
      <c r="Z27" s="3">
        <v>2.5</v>
      </c>
      <c r="AA27" s="3">
        <v>11</v>
      </c>
      <c r="AB27" s="11" t="s">
        <v>397</v>
      </c>
    </row>
    <row r="28" spans="1:28">
      <c r="A28" s="3" t="s">
        <v>20</v>
      </c>
      <c r="B28" s="3" t="s">
        <v>26</v>
      </c>
      <c r="C28" s="3">
        <v>12</v>
      </c>
      <c r="D28" s="3" t="s">
        <v>21</v>
      </c>
      <c r="E28" s="3">
        <v>6.1</v>
      </c>
      <c r="F28" s="3">
        <v>2012</v>
      </c>
      <c r="G28" s="4">
        <v>0.73656999999999995</v>
      </c>
      <c r="H28" s="3">
        <v>8</v>
      </c>
      <c r="I28" s="4">
        <v>8.8329999999999909E-2</v>
      </c>
      <c r="J28" s="4">
        <f t="shared" si="4"/>
        <v>3.1229370991103837E-2</v>
      </c>
      <c r="K28" s="4">
        <v>1.6720200000000001</v>
      </c>
      <c r="L28" s="3">
        <v>8</v>
      </c>
      <c r="M28" s="4">
        <v>0.23284000000000016</v>
      </c>
      <c r="N28" s="4">
        <f t="shared" si="5"/>
        <v>8.2321371465737911E-2</v>
      </c>
      <c r="O28" s="4">
        <f t="shared" si="2"/>
        <v>0.81978347978168542</v>
      </c>
      <c r="P28" s="4">
        <f t="shared" si="3"/>
        <v>4.2216760145497327E-3</v>
      </c>
      <c r="Q28" s="4" t="s">
        <v>290</v>
      </c>
      <c r="R28" s="3" t="s">
        <v>96</v>
      </c>
      <c r="S28" s="3" t="s">
        <v>221</v>
      </c>
      <c r="T28" s="3" t="s">
        <v>97</v>
      </c>
      <c r="U28" s="3" t="s">
        <v>165</v>
      </c>
      <c r="V28" s="3" t="s">
        <v>165</v>
      </c>
      <c r="W28" s="3" t="s">
        <v>112</v>
      </c>
      <c r="X28" s="3" t="s">
        <v>99</v>
      </c>
      <c r="Y28" s="3">
        <v>25</v>
      </c>
      <c r="Z28" s="3">
        <v>2.5</v>
      </c>
      <c r="AA28" s="3">
        <v>11</v>
      </c>
      <c r="AB28" s="11" t="s">
        <v>397</v>
      </c>
    </row>
    <row r="29" spans="1:28">
      <c r="A29" s="3" t="s">
        <v>20</v>
      </c>
      <c r="B29" s="3" t="s">
        <v>26</v>
      </c>
      <c r="C29" s="3">
        <v>13</v>
      </c>
      <c r="D29" s="3" t="s">
        <v>21</v>
      </c>
      <c r="E29" s="3">
        <v>6.1</v>
      </c>
      <c r="F29" s="3">
        <v>2012</v>
      </c>
      <c r="G29" s="4">
        <v>1.6615800000000001</v>
      </c>
      <c r="H29" s="3">
        <v>8</v>
      </c>
      <c r="I29" s="4">
        <v>0.15355000000000008</v>
      </c>
      <c r="J29" s="4">
        <f t="shared" si="4"/>
        <v>5.4288123125597207E-2</v>
      </c>
      <c r="K29" s="4">
        <v>2.71774</v>
      </c>
      <c r="L29" s="3">
        <v>8</v>
      </c>
      <c r="M29" s="4">
        <v>0.36951000000000001</v>
      </c>
      <c r="N29" s="4">
        <f t="shared" si="5"/>
        <v>0.13064151335812058</v>
      </c>
      <c r="O29" s="4">
        <f t="shared" si="2"/>
        <v>0.49203169566481131</v>
      </c>
      <c r="P29" s="4">
        <f t="shared" si="3"/>
        <v>3.3782142893303232E-3</v>
      </c>
      <c r="Q29" s="4" t="s">
        <v>290</v>
      </c>
      <c r="R29" s="3" t="s">
        <v>96</v>
      </c>
      <c r="S29" s="3" t="s">
        <v>221</v>
      </c>
      <c r="T29" s="3" t="s">
        <v>97</v>
      </c>
      <c r="U29" s="3" t="s">
        <v>165</v>
      </c>
      <c r="V29" s="3" t="s">
        <v>165</v>
      </c>
      <c r="W29" s="3" t="s">
        <v>360</v>
      </c>
      <c r="X29" s="3" t="s">
        <v>148</v>
      </c>
      <c r="Y29" s="3">
        <v>25</v>
      </c>
      <c r="Z29" s="3">
        <v>0</v>
      </c>
      <c r="AA29" s="3">
        <v>11</v>
      </c>
      <c r="AB29" s="11" t="s">
        <v>397</v>
      </c>
    </row>
    <row r="30" spans="1:28">
      <c r="A30" s="3" t="s">
        <v>20</v>
      </c>
      <c r="B30" s="3" t="s">
        <v>26</v>
      </c>
      <c r="C30" s="3">
        <v>14</v>
      </c>
      <c r="D30" s="3" t="s">
        <v>21</v>
      </c>
      <c r="E30" s="3">
        <v>6.1</v>
      </c>
      <c r="F30" s="3">
        <v>2012</v>
      </c>
      <c r="G30" s="4">
        <v>1.6615800000000001</v>
      </c>
      <c r="H30" s="3">
        <v>8</v>
      </c>
      <c r="I30" s="4">
        <v>0.15355000000000008</v>
      </c>
      <c r="J30" s="4">
        <f t="shared" si="4"/>
        <v>5.4288123125597207E-2</v>
      </c>
      <c r="K30" s="4">
        <v>3.1937500000000001</v>
      </c>
      <c r="L30" s="3">
        <v>8</v>
      </c>
      <c r="M30" s="4">
        <v>0.3194300000000001</v>
      </c>
      <c r="N30" s="4">
        <f t="shared" si="5"/>
        <v>0.11293555955720946</v>
      </c>
      <c r="O30" s="4">
        <f t="shared" si="2"/>
        <v>0.65342681805378977</v>
      </c>
      <c r="P30" s="4">
        <f t="shared" si="3"/>
        <v>2.3179287433953226E-3</v>
      </c>
      <c r="Q30" s="4" t="s">
        <v>290</v>
      </c>
      <c r="R30" s="3" t="s">
        <v>96</v>
      </c>
      <c r="S30" s="3" t="s">
        <v>221</v>
      </c>
      <c r="T30" s="3" t="s">
        <v>97</v>
      </c>
      <c r="U30" s="3" t="s">
        <v>165</v>
      </c>
      <c r="V30" s="3" t="s">
        <v>165</v>
      </c>
      <c r="W30" s="3" t="s">
        <v>112</v>
      </c>
      <c r="X30" s="3" t="s">
        <v>98</v>
      </c>
      <c r="Y30" s="3">
        <v>25</v>
      </c>
      <c r="Z30" s="3">
        <v>2.5</v>
      </c>
      <c r="AA30" s="3">
        <v>11</v>
      </c>
      <c r="AB30" s="11" t="s">
        <v>397</v>
      </c>
    </row>
    <row r="31" spans="1:28">
      <c r="A31" s="3" t="s">
        <v>20</v>
      </c>
      <c r="B31" s="3" t="s">
        <v>26</v>
      </c>
      <c r="C31" s="3">
        <v>15</v>
      </c>
      <c r="D31" s="3" t="s">
        <v>21</v>
      </c>
      <c r="E31" s="3">
        <v>6.1</v>
      </c>
      <c r="F31" s="3">
        <v>2012</v>
      </c>
      <c r="G31" s="4">
        <v>1.6615800000000001</v>
      </c>
      <c r="H31" s="3">
        <v>8</v>
      </c>
      <c r="I31" s="4">
        <v>0.15355000000000008</v>
      </c>
      <c r="J31" s="4">
        <f t="shared" si="4"/>
        <v>5.4288123125597207E-2</v>
      </c>
      <c r="K31" s="4">
        <v>2.18615</v>
      </c>
      <c r="L31" s="3">
        <v>8</v>
      </c>
      <c r="M31" s="4">
        <v>0.1362300000000003</v>
      </c>
      <c r="N31" s="4">
        <f t="shared" si="5"/>
        <v>4.8164578400521789E-2</v>
      </c>
      <c r="O31" s="4">
        <f t="shared" si="2"/>
        <v>0.27437304896536302</v>
      </c>
      <c r="P31" s="4">
        <f t="shared" si="3"/>
        <v>1.5528935282372919E-3</v>
      </c>
      <c r="Q31" s="4" t="s">
        <v>290</v>
      </c>
      <c r="R31" s="3" t="s">
        <v>96</v>
      </c>
      <c r="S31" s="3" t="s">
        <v>221</v>
      </c>
      <c r="T31" s="3" t="s">
        <v>97</v>
      </c>
      <c r="U31" s="3" t="s">
        <v>165</v>
      </c>
      <c r="V31" s="3" t="s">
        <v>165</v>
      </c>
      <c r="W31" s="3" t="s">
        <v>112</v>
      </c>
      <c r="X31" s="3" t="s">
        <v>98</v>
      </c>
      <c r="Y31" s="3">
        <v>25</v>
      </c>
      <c r="Z31" s="3">
        <v>2.5</v>
      </c>
      <c r="AA31" s="3">
        <v>11</v>
      </c>
      <c r="AB31" s="11" t="s">
        <v>397</v>
      </c>
    </row>
    <row r="32" spans="1:28">
      <c r="A32" s="3" t="s">
        <v>20</v>
      </c>
      <c r="B32" s="3" t="s">
        <v>26</v>
      </c>
      <c r="C32" s="3">
        <v>16</v>
      </c>
      <c r="D32" s="3" t="s">
        <v>21</v>
      </c>
      <c r="E32" s="3">
        <v>6.1</v>
      </c>
      <c r="F32" s="3">
        <v>2012</v>
      </c>
      <c r="G32" s="4">
        <v>1.6615800000000001</v>
      </c>
      <c r="H32" s="3">
        <v>8</v>
      </c>
      <c r="I32" s="4">
        <v>0.15355000000000008</v>
      </c>
      <c r="J32" s="4">
        <f t="shared" si="4"/>
        <v>5.4288123125597207E-2</v>
      </c>
      <c r="K32" s="4">
        <v>2.3084500000000001</v>
      </c>
      <c r="L32" s="3">
        <v>8</v>
      </c>
      <c r="M32" s="4">
        <v>0.10982000000000003</v>
      </c>
      <c r="N32" s="4">
        <f t="shared" si="5"/>
        <v>3.8827233354953333E-2</v>
      </c>
      <c r="O32" s="4">
        <f t="shared" si="2"/>
        <v>0.32880734672827089</v>
      </c>
      <c r="P32" s="4">
        <f t="shared" si="3"/>
        <v>1.3503975262681418E-3</v>
      </c>
      <c r="Q32" s="4" t="s">
        <v>290</v>
      </c>
      <c r="R32" s="3" t="s">
        <v>96</v>
      </c>
      <c r="S32" s="3" t="s">
        <v>221</v>
      </c>
      <c r="T32" s="3" t="s">
        <v>97</v>
      </c>
      <c r="U32" s="3" t="s">
        <v>165</v>
      </c>
      <c r="V32" s="3" t="s">
        <v>165</v>
      </c>
      <c r="W32" s="3" t="s">
        <v>112</v>
      </c>
      <c r="X32" s="3" t="s">
        <v>99</v>
      </c>
      <c r="Y32" s="3">
        <v>25</v>
      </c>
      <c r="Z32" s="3">
        <v>2.5</v>
      </c>
      <c r="AA32" s="3">
        <v>11</v>
      </c>
      <c r="AB32" s="11" t="s">
        <v>397</v>
      </c>
    </row>
    <row r="33" spans="1:28">
      <c r="A33" s="3" t="s">
        <v>22</v>
      </c>
      <c r="B33" s="3" t="s">
        <v>27</v>
      </c>
      <c r="C33" s="3">
        <v>1</v>
      </c>
      <c r="D33" s="3" t="s">
        <v>28</v>
      </c>
      <c r="E33" s="3">
        <v>2</v>
      </c>
      <c r="F33" s="3">
        <v>2008</v>
      </c>
      <c r="G33" s="4">
        <v>125.18204</v>
      </c>
      <c r="H33" s="3">
        <v>10</v>
      </c>
      <c r="I33" s="4">
        <v>8.8770299999999995</v>
      </c>
      <c r="J33" s="4">
        <f t="shared" si="4"/>
        <v>2.8071633657644504</v>
      </c>
      <c r="K33" s="4">
        <v>195.55618999999999</v>
      </c>
      <c r="L33" s="3">
        <v>10</v>
      </c>
      <c r="M33" s="4">
        <v>8.36069</v>
      </c>
      <c r="N33" s="4">
        <f t="shared" si="5"/>
        <v>2.6438823210593165</v>
      </c>
      <c r="O33" s="4">
        <f t="shared" si="2"/>
        <v>0.44607875711213624</v>
      </c>
      <c r="P33" s="4">
        <f t="shared" si="3"/>
        <v>6.856501365452367E-4</v>
      </c>
      <c r="Q33" s="4" t="s">
        <v>292</v>
      </c>
      <c r="R33" s="3" t="s">
        <v>270</v>
      </c>
      <c r="S33" s="3" t="s">
        <v>221</v>
      </c>
      <c r="T33" s="3" t="s">
        <v>134</v>
      </c>
      <c r="U33" s="3" t="s">
        <v>337</v>
      </c>
      <c r="V33" s="3" t="s">
        <v>332</v>
      </c>
      <c r="W33" s="3" t="s">
        <v>329</v>
      </c>
      <c r="X33" s="3" t="s">
        <v>100</v>
      </c>
      <c r="Y33" s="3" t="s">
        <v>363</v>
      </c>
      <c r="Z33" s="3">
        <v>0</v>
      </c>
      <c r="AA33" s="3">
        <v>4</v>
      </c>
      <c r="AB33" s="11" t="s">
        <v>397</v>
      </c>
    </row>
    <row r="34" spans="1:28">
      <c r="A34" s="3" t="s">
        <v>22</v>
      </c>
      <c r="B34" s="3" t="s">
        <v>27</v>
      </c>
      <c r="C34" s="3">
        <v>2</v>
      </c>
      <c r="D34" s="3" t="s">
        <v>28</v>
      </c>
      <c r="E34" s="3">
        <v>2</v>
      </c>
      <c r="F34" s="3">
        <v>2008</v>
      </c>
      <c r="G34" s="4">
        <v>218.40412000000001</v>
      </c>
      <c r="H34" s="3">
        <v>10</v>
      </c>
      <c r="I34" s="4">
        <v>9.1351999999999993</v>
      </c>
      <c r="J34" s="4">
        <f t="shared" si="4"/>
        <v>2.8888038881170175</v>
      </c>
      <c r="K34" s="4">
        <v>211.35413</v>
      </c>
      <c r="L34" s="3">
        <v>10</v>
      </c>
      <c r="M34" s="4">
        <v>9.3999900000000007</v>
      </c>
      <c r="N34" s="4">
        <f t="shared" si="5"/>
        <v>2.9725378382806165</v>
      </c>
      <c r="O34" s="4">
        <f t="shared" ref="O34:O66" si="6">LN(K34/G34)</f>
        <v>-3.2812040294148602E-2</v>
      </c>
      <c r="P34" s="4">
        <f t="shared" si="3"/>
        <v>3.7275340601227174E-4</v>
      </c>
      <c r="Q34" s="4" t="s">
        <v>292</v>
      </c>
      <c r="R34" s="3" t="s">
        <v>270</v>
      </c>
      <c r="S34" s="3" t="s">
        <v>221</v>
      </c>
      <c r="T34" s="3" t="s">
        <v>134</v>
      </c>
      <c r="U34" s="3" t="s">
        <v>337</v>
      </c>
      <c r="V34" s="3" t="s">
        <v>332</v>
      </c>
      <c r="W34" s="3" t="s">
        <v>329</v>
      </c>
      <c r="X34" s="3" t="s">
        <v>100</v>
      </c>
      <c r="Y34" s="3" t="s">
        <v>363</v>
      </c>
      <c r="Z34" s="3">
        <v>0</v>
      </c>
      <c r="AA34" s="3">
        <v>4</v>
      </c>
      <c r="AB34" s="11" t="s">
        <v>397</v>
      </c>
    </row>
    <row r="35" spans="1:28">
      <c r="A35" s="3" t="s">
        <v>22</v>
      </c>
      <c r="B35" s="3" t="s">
        <v>27</v>
      </c>
      <c r="C35" s="3">
        <v>3</v>
      </c>
      <c r="D35" s="3" t="s">
        <v>28</v>
      </c>
      <c r="E35" s="3">
        <v>2</v>
      </c>
      <c r="F35" s="3">
        <v>2008</v>
      </c>
      <c r="G35" s="4">
        <v>174.95111</v>
      </c>
      <c r="H35" s="3">
        <v>10</v>
      </c>
      <c r="I35" s="4">
        <v>8.4516299999999998</v>
      </c>
      <c r="J35" s="4">
        <f t="shared" si="4"/>
        <v>2.6726400741008876</v>
      </c>
      <c r="K35" s="4">
        <v>298.72210999999999</v>
      </c>
      <c r="L35" s="3">
        <v>10</v>
      </c>
      <c r="M35" s="4">
        <v>8.4609500000000004</v>
      </c>
      <c r="N35" s="4">
        <f t="shared" si="5"/>
        <v>2.6755873168801649</v>
      </c>
      <c r="O35" s="4">
        <f t="shared" si="6"/>
        <v>0.5350071797757997</v>
      </c>
      <c r="P35" s="4">
        <f t="shared" si="3"/>
        <v>3.1359520862123764E-4</v>
      </c>
      <c r="Q35" s="4" t="s">
        <v>291</v>
      </c>
      <c r="R35" s="3" t="s">
        <v>271</v>
      </c>
      <c r="S35" s="3" t="s">
        <v>221</v>
      </c>
      <c r="T35" s="3" t="s">
        <v>134</v>
      </c>
      <c r="U35" s="3" t="s">
        <v>337</v>
      </c>
      <c r="V35" s="3" t="s">
        <v>332</v>
      </c>
      <c r="W35" s="3" t="s">
        <v>329</v>
      </c>
      <c r="X35" s="3" t="s">
        <v>100</v>
      </c>
      <c r="Y35" s="3" t="s">
        <v>363</v>
      </c>
      <c r="Z35" s="3">
        <v>0</v>
      </c>
      <c r="AA35" s="3">
        <v>4</v>
      </c>
      <c r="AB35" s="11" t="s">
        <v>397</v>
      </c>
    </row>
    <row r="36" spans="1:28">
      <c r="A36" s="3" t="s">
        <v>22</v>
      </c>
      <c r="B36" s="3" t="s">
        <v>27</v>
      </c>
      <c r="C36" s="3">
        <v>4</v>
      </c>
      <c r="D36" s="3" t="s">
        <v>28</v>
      </c>
      <c r="E36" s="3">
        <v>2</v>
      </c>
      <c r="F36" s="3">
        <v>2008</v>
      </c>
      <c r="G36" s="4">
        <v>115.34266</v>
      </c>
      <c r="H36" s="3">
        <v>10</v>
      </c>
      <c r="I36" s="4">
        <v>8.8288100000000007</v>
      </c>
      <c r="J36" s="4">
        <f t="shared" si="4"/>
        <v>2.7919148628871189</v>
      </c>
      <c r="K36" s="4">
        <v>106.67216999999999</v>
      </c>
      <c r="L36" s="3">
        <v>10</v>
      </c>
      <c r="M36" s="4">
        <v>7.7531499999999998</v>
      </c>
      <c r="N36" s="4">
        <f t="shared" si="5"/>
        <v>2.4517613040934467</v>
      </c>
      <c r="O36" s="4">
        <f t="shared" si="6"/>
        <v>-7.8147050627323078E-2</v>
      </c>
      <c r="P36" s="4">
        <f t="shared" si="3"/>
        <v>1.1141690058387493E-3</v>
      </c>
      <c r="Q36" s="4" t="s">
        <v>291</v>
      </c>
      <c r="R36" s="3" t="s">
        <v>271</v>
      </c>
      <c r="S36" s="3" t="s">
        <v>221</v>
      </c>
      <c r="T36" s="3" t="s">
        <v>134</v>
      </c>
      <c r="U36" s="3" t="s">
        <v>337</v>
      </c>
      <c r="V36" s="3" t="s">
        <v>332</v>
      </c>
      <c r="W36" s="3" t="s">
        <v>329</v>
      </c>
      <c r="X36" s="3" t="s">
        <v>100</v>
      </c>
      <c r="Y36" s="3" t="s">
        <v>363</v>
      </c>
      <c r="Z36" s="3">
        <v>0</v>
      </c>
      <c r="AA36" s="3">
        <v>4</v>
      </c>
      <c r="AB36" s="11" t="s">
        <v>397</v>
      </c>
    </row>
    <row r="37" spans="1:28">
      <c r="A37" s="3" t="s">
        <v>29</v>
      </c>
      <c r="B37" s="3" t="s">
        <v>30</v>
      </c>
      <c r="C37" s="3">
        <v>1</v>
      </c>
      <c r="D37" s="3" t="s">
        <v>31</v>
      </c>
      <c r="E37" s="3">
        <v>3.2</v>
      </c>
      <c r="F37" s="3">
        <v>2019</v>
      </c>
      <c r="G37" s="4">
        <v>1.54762</v>
      </c>
      <c r="H37" s="3">
        <v>10</v>
      </c>
      <c r="I37" s="4">
        <f xml:space="preserve"> J37 * SQRT(H37)</f>
        <v>0.74575994059750894</v>
      </c>
      <c r="J37" s="4">
        <v>0.23583000000000001</v>
      </c>
      <c r="K37" s="4">
        <v>1.7204200000000001</v>
      </c>
      <c r="L37" s="3">
        <v>10</v>
      </c>
      <c r="M37" s="4">
        <f t="shared" ref="M37:M48" si="7" xml:space="preserve"> N37 * SQRT(L37)</f>
        <v>0.7139790501128167</v>
      </c>
      <c r="N37" s="4">
        <v>0.22578000000000001</v>
      </c>
      <c r="O37" s="4">
        <f t="shared" si="6"/>
        <v>0.10585018006661839</v>
      </c>
      <c r="P37" s="4">
        <f t="shared" si="3"/>
        <v>4.044311517093916E-2</v>
      </c>
      <c r="Q37" s="4" t="s">
        <v>293</v>
      </c>
      <c r="R37" s="3" t="s">
        <v>101</v>
      </c>
      <c r="S37" s="3" t="s">
        <v>221</v>
      </c>
      <c r="T37" s="3" t="s">
        <v>97</v>
      </c>
      <c r="U37" s="3" t="s">
        <v>337</v>
      </c>
      <c r="V37" s="3" t="s">
        <v>332</v>
      </c>
      <c r="W37" s="3" t="s">
        <v>360</v>
      </c>
      <c r="X37" s="3" t="s">
        <v>102</v>
      </c>
      <c r="Y37" s="3">
        <v>75</v>
      </c>
      <c r="Z37" s="3">
        <v>0</v>
      </c>
      <c r="AA37" s="3">
        <v>30</v>
      </c>
      <c r="AB37" s="11" t="s">
        <v>397</v>
      </c>
    </row>
    <row r="38" spans="1:28">
      <c r="A38" s="3" t="s">
        <v>29</v>
      </c>
      <c r="B38" s="3" t="s">
        <v>30</v>
      </c>
      <c r="C38" s="3">
        <v>2</v>
      </c>
      <c r="D38" s="3" t="s">
        <v>31</v>
      </c>
      <c r="E38" s="3">
        <v>3.2</v>
      </c>
      <c r="F38" s="3">
        <v>2019</v>
      </c>
      <c r="G38" s="4">
        <v>1.2721100000000001</v>
      </c>
      <c r="H38" s="3">
        <v>10</v>
      </c>
      <c r="I38" s="4">
        <f t="shared" ref="I38:I48" si="8" xml:space="preserve"> J38 * SQRT(H38)</f>
        <v>0.7930359916170262</v>
      </c>
      <c r="J38" s="4">
        <v>0.25078</v>
      </c>
      <c r="K38" s="4">
        <v>1.26681</v>
      </c>
      <c r="L38" s="3">
        <v>10</v>
      </c>
      <c r="M38" s="4">
        <f t="shared" si="7"/>
        <v>0.74620265946993258</v>
      </c>
      <c r="N38" s="4">
        <v>0.23597000000000001</v>
      </c>
      <c r="O38" s="4">
        <f t="shared" si="6"/>
        <v>-4.1750096092506494E-3</v>
      </c>
      <c r="P38" s="4">
        <f t="shared" si="3"/>
        <v>7.3559908137874247E-2</v>
      </c>
      <c r="Q38" s="4" t="s">
        <v>293</v>
      </c>
      <c r="R38" s="3" t="s">
        <v>101</v>
      </c>
      <c r="S38" s="3" t="s">
        <v>221</v>
      </c>
      <c r="T38" s="3" t="s">
        <v>97</v>
      </c>
      <c r="U38" s="3" t="s">
        <v>337</v>
      </c>
      <c r="V38" s="3" t="s">
        <v>332</v>
      </c>
      <c r="W38" s="3" t="s">
        <v>360</v>
      </c>
      <c r="X38" s="3" t="s">
        <v>102</v>
      </c>
      <c r="Y38" s="3">
        <v>75</v>
      </c>
      <c r="Z38" s="3">
        <v>0</v>
      </c>
      <c r="AA38" s="3">
        <v>30</v>
      </c>
      <c r="AB38" s="11" t="s">
        <v>397</v>
      </c>
    </row>
    <row r="39" spans="1:28">
      <c r="A39" s="3" t="s">
        <v>29</v>
      </c>
      <c r="B39" s="3" t="s">
        <v>30</v>
      </c>
      <c r="C39" s="3">
        <v>3</v>
      </c>
      <c r="D39" s="3" t="s">
        <v>31</v>
      </c>
      <c r="E39" s="3">
        <v>3.2</v>
      </c>
      <c r="F39" s="3">
        <v>2019</v>
      </c>
      <c r="G39" s="4">
        <v>3.0573299999999999</v>
      </c>
      <c r="H39" s="3">
        <v>10</v>
      </c>
      <c r="I39" s="4">
        <f t="shared" si="8"/>
        <v>0.88195923942096099</v>
      </c>
      <c r="J39" s="4">
        <v>0.27889999999999998</v>
      </c>
      <c r="K39" s="4">
        <v>2.7511199999999998</v>
      </c>
      <c r="L39" s="3">
        <v>10</v>
      </c>
      <c r="M39" s="4">
        <f t="shared" si="7"/>
        <v>1.0860210168316267</v>
      </c>
      <c r="N39" s="4">
        <v>0.34343000000000001</v>
      </c>
      <c r="O39" s="4">
        <f t="shared" si="6"/>
        <v>-0.10553388455947793</v>
      </c>
      <c r="P39" s="4">
        <f t="shared" si="3"/>
        <v>2.3904933268468313E-2</v>
      </c>
      <c r="Q39" s="4" t="s">
        <v>293</v>
      </c>
      <c r="R39" s="3" t="s">
        <v>101</v>
      </c>
      <c r="S39" s="3" t="s">
        <v>221</v>
      </c>
      <c r="T39" s="3" t="s">
        <v>97</v>
      </c>
      <c r="U39" s="3" t="s">
        <v>337</v>
      </c>
      <c r="V39" s="3" t="s">
        <v>332</v>
      </c>
      <c r="W39" s="3" t="s">
        <v>360</v>
      </c>
      <c r="X39" s="3" t="s">
        <v>102</v>
      </c>
      <c r="Y39" s="3">
        <v>75</v>
      </c>
      <c r="Z39" s="3">
        <v>0</v>
      </c>
      <c r="AA39" s="3">
        <v>30</v>
      </c>
      <c r="AB39" s="11" t="s">
        <v>397</v>
      </c>
    </row>
    <row r="40" spans="1:28">
      <c r="A40" s="3" t="s">
        <v>29</v>
      </c>
      <c r="B40" s="3" t="s">
        <v>30</v>
      </c>
      <c r="C40" s="3">
        <v>4</v>
      </c>
      <c r="D40" s="3" t="s">
        <v>31</v>
      </c>
      <c r="E40" s="3">
        <v>3.2</v>
      </c>
      <c r="F40" s="3">
        <v>2019</v>
      </c>
      <c r="G40" s="4">
        <v>4.8224400000000003</v>
      </c>
      <c r="H40" s="3">
        <v>10</v>
      </c>
      <c r="I40" s="4">
        <f t="shared" si="8"/>
        <v>1.943946946035308</v>
      </c>
      <c r="J40" s="4">
        <v>0.61473</v>
      </c>
      <c r="K40" s="4">
        <v>3.6912099999999999</v>
      </c>
      <c r="L40" s="3">
        <v>10</v>
      </c>
      <c r="M40" s="4">
        <f t="shared" si="7"/>
        <v>1.4906976890033741</v>
      </c>
      <c r="N40" s="4">
        <v>0.47139999999999999</v>
      </c>
      <c r="O40" s="4">
        <f t="shared" si="6"/>
        <v>-0.26732570646096249</v>
      </c>
      <c r="P40" s="4">
        <f t="shared" si="3"/>
        <v>3.2558856081748244E-2</v>
      </c>
      <c r="Q40" s="4" t="s">
        <v>293</v>
      </c>
      <c r="R40" s="3" t="s">
        <v>101</v>
      </c>
      <c r="S40" s="3" t="s">
        <v>221</v>
      </c>
      <c r="T40" s="3" t="s">
        <v>97</v>
      </c>
      <c r="U40" s="3" t="s">
        <v>337</v>
      </c>
      <c r="V40" s="3" t="s">
        <v>332</v>
      </c>
      <c r="W40" s="3" t="s">
        <v>360</v>
      </c>
      <c r="X40" s="3" t="s">
        <v>102</v>
      </c>
      <c r="Y40" s="3">
        <v>75</v>
      </c>
      <c r="Z40" s="3">
        <v>0</v>
      </c>
      <c r="AA40" s="3">
        <v>30</v>
      </c>
      <c r="AB40" s="11" t="s">
        <v>397</v>
      </c>
    </row>
    <row r="41" spans="1:28">
      <c r="A41" s="3" t="s">
        <v>29</v>
      </c>
      <c r="B41" s="3" t="s">
        <v>30</v>
      </c>
      <c r="C41" s="3">
        <v>5</v>
      </c>
      <c r="D41" s="3" t="s">
        <v>31</v>
      </c>
      <c r="E41" s="3">
        <v>3.2</v>
      </c>
      <c r="F41" s="3">
        <v>2019</v>
      </c>
      <c r="G41" s="4">
        <v>10.205270000000001</v>
      </c>
      <c r="H41" s="3">
        <v>10</v>
      </c>
      <c r="I41" s="4">
        <f t="shared" si="8"/>
        <v>1.2557088360762618</v>
      </c>
      <c r="J41" s="4">
        <v>0.39709</v>
      </c>
      <c r="K41" s="4">
        <v>7.3057999999999996</v>
      </c>
      <c r="L41" s="3">
        <v>10</v>
      </c>
      <c r="M41" s="4">
        <f t="shared" si="7"/>
        <v>1.7424466135293788</v>
      </c>
      <c r="N41" s="4">
        <v>0.55101</v>
      </c>
      <c r="O41" s="4">
        <f t="shared" si="6"/>
        <v>-0.33423570029270155</v>
      </c>
      <c r="P41" s="4">
        <f t="shared" si="3"/>
        <v>7.202322476912543E-3</v>
      </c>
      <c r="Q41" s="4" t="s">
        <v>293</v>
      </c>
      <c r="R41" s="3" t="s">
        <v>101</v>
      </c>
      <c r="S41" s="3" t="s">
        <v>221</v>
      </c>
      <c r="T41" s="3" t="s">
        <v>97</v>
      </c>
      <c r="U41" s="3" t="s">
        <v>337</v>
      </c>
      <c r="V41" s="3" t="s">
        <v>332</v>
      </c>
      <c r="W41" s="3" t="s">
        <v>360</v>
      </c>
      <c r="X41" s="3" t="s">
        <v>102</v>
      </c>
      <c r="Y41" s="3">
        <v>75</v>
      </c>
      <c r="Z41" s="3">
        <v>0</v>
      </c>
      <c r="AA41" s="3">
        <v>30</v>
      </c>
      <c r="AB41" s="11" t="s">
        <v>397</v>
      </c>
    </row>
    <row r="42" spans="1:28">
      <c r="A42" s="3" t="s">
        <v>32</v>
      </c>
      <c r="B42" s="3" t="s">
        <v>33</v>
      </c>
      <c r="C42" s="3">
        <v>1</v>
      </c>
      <c r="D42" s="3" t="s">
        <v>34</v>
      </c>
      <c r="E42" s="3">
        <v>2.7</v>
      </c>
      <c r="F42" s="3">
        <v>1992</v>
      </c>
      <c r="G42" s="4">
        <v>0.28891</v>
      </c>
      <c r="H42" s="3">
        <v>10</v>
      </c>
      <c r="I42" s="4">
        <f t="shared" si="8"/>
        <v>0.53319163628099042</v>
      </c>
      <c r="J42" s="4">
        <v>0.16860999999999998</v>
      </c>
      <c r="K42" s="4">
        <v>1.43144</v>
      </c>
      <c r="L42" s="3">
        <v>10</v>
      </c>
      <c r="M42" s="4">
        <f t="shared" si="7"/>
        <v>0.7076861175690814</v>
      </c>
      <c r="N42" s="4">
        <v>0.22378999999999993</v>
      </c>
      <c r="O42" s="4">
        <f t="shared" si="6"/>
        <v>1.6003209886571639</v>
      </c>
      <c r="P42" s="4">
        <f t="shared" si="3"/>
        <v>0.36503944620704015</v>
      </c>
      <c r="Q42" s="4" t="s">
        <v>292</v>
      </c>
      <c r="R42" s="3" t="s">
        <v>103</v>
      </c>
      <c r="S42" s="3" t="s">
        <v>221</v>
      </c>
      <c r="T42" s="3" t="s">
        <v>8</v>
      </c>
      <c r="U42" s="3" t="s">
        <v>337</v>
      </c>
      <c r="V42" s="3" t="s">
        <v>333</v>
      </c>
      <c r="W42" s="3" t="s">
        <v>360</v>
      </c>
      <c r="X42" s="3" t="s">
        <v>148</v>
      </c>
      <c r="Y42" s="3">
        <v>100</v>
      </c>
      <c r="Z42" s="3">
        <v>0</v>
      </c>
      <c r="AA42" s="3">
        <v>1</v>
      </c>
      <c r="AB42" s="11" t="s">
        <v>397</v>
      </c>
    </row>
    <row r="43" spans="1:28">
      <c r="A43" s="3" t="s">
        <v>32</v>
      </c>
      <c r="B43" s="3" t="s">
        <v>33</v>
      </c>
      <c r="C43" s="3">
        <v>2</v>
      </c>
      <c r="D43" s="3" t="s">
        <v>34</v>
      </c>
      <c r="E43" s="3">
        <v>2.7</v>
      </c>
      <c r="F43" s="3">
        <v>1992</v>
      </c>
      <c r="G43" s="4">
        <v>0.71281000000000005</v>
      </c>
      <c r="H43" s="3">
        <v>10</v>
      </c>
      <c r="I43" s="4">
        <f t="shared" si="8"/>
        <v>0.48790782018737905</v>
      </c>
      <c r="J43" s="4">
        <v>0.15428999999999993</v>
      </c>
      <c r="K43" s="4">
        <v>2.7305700000000002</v>
      </c>
      <c r="L43" s="3">
        <v>10</v>
      </c>
      <c r="M43" s="4">
        <f t="shared" si="7"/>
        <v>1.4768469128518358</v>
      </c>
      <c r="N43" s="4">
        <v>0.46701999999999977</v>
      </c>
      <c r="O43" s="4">
        <f t="shared" si="6"/>
        <v>1.3430507523550583</v>
      </c>
      <c r="P43" s="4">
        <f t="shared" si="3"/>
        <v>7.6104574853722573E-2</v>
      </c>
      <c r="Q43" s="4" t="s">
        <v>292</v>
      </c>
      <c r="R43" s="3" t="s">
        <v>103</v>
      </c>
      <c r="S43" s="3" t="s">
        <v>221</v>
      </c>
      <c r="T43" s="3" t="s">
        <v>8</v>
      </c>
      <c r="U43" s="3" t="s">
        <v>337</v>
      </c>
      <c r="V43" s="3" t="s">
        <v>333</v>
      </c>
      <c r="W43" s="3" t="s">
        <v>360</v>
      </c>
      <c r="X43" s="3" t="s">
        <v>148</v>
      </c>
      <c r="Y43" s="3">
        <v>100</v>
      </c>
      <c r="Z43" s="3">
        <v>0</v>
      </c>
      <c r="AA43" s="3">
        <v>30</v>
      </c>
      <c r="AB43" s="11" t="s">
        <v>397</v>
      </c>
    </row>
    <row r="44" spans="1:28">
      <c r="A44" s="3" t="s">
        <v>32</v>
      </c>
      <c r="B44" s="3" t="s">
        <v>33</v>
      </c>
      <c r="C44" s="3">
        <v>3</v>
      </c>
      <c r="D44" s="3" t="s">
        <v>34</v>
      </c>
      <c r="E44" s="3">
        <v>2.7</v>
      </c>
      <c r="F44" s="3">
        <v>1992</v>
      </c>
      <c r="G44" s="3">
        <v>14.397449999999999</v>
      </c>
      <c r="H44" s="3">
        <v>10</v>
      </c>
      <c r="I44" s="4">
        <f t="shared" si="8"/>
        <v>3.3898351605940982</v>
      </c>
      <c r="J44" s="4">
        <v>1.0719600000000007</v>
      </c>
      <c r="K44" s="4">
        <v>36.746090000000002</v>
      </c>
      <c r="L44" s="3">
        <v>10</v>
      </c>
      <c r="M44" s="4">
        <f t="shared" si="7"/>
        <v>11.730563848724412</v>
      </c>
      <c r="N44" s="4">
        <v>3.7095300000000009</v>
      </c>
      <c r="O44" s="4">
        <f t="shared" si="6"/>
        <v>0.93698071787320325</v>
      </c>
      <c r="P44" s="4">
        <f t="shared" si="3"/>
        <v>1.5734494506225955E-2</v>
      </c>
      <c r="Q44" s="4" t="s">
        <v>292</v>
      </c>
      <c r="R44" s="3" t="s">
        <v>103</v>
      </c>
      <c r="S44" s="3" t="s">
        <v>221</v>
      </c>
      <c r="T44" s="3" t="s">
        <v>134</v>
      </c>
      <c r="U44" s="3" t="s">
        <v>337</v>
      </c>
      <c r="V44" s="3" t="s">
        <v>333</v>
      </c>
      <c r="W44" s="3" t="s">
        <v>360</v>
      </c>
      <c r="X44" s="3" t="s">
        <v>148</v>
      </c>
      <c r="Y44" s="3">
        <v>100</v>
      </c>
      <c r="Z44" s="3">
        <v>0</v>
      </c>
      <c r="AA44" s="3">
        <v>1</v>
      </c>
      <c r="AB44" s="11" t="s">
        <v>397</v>
      </c>
    </row>
    <row r="45" spans="1:28">
      <c r="A45" s="3" t="s">
        <v>32</v>
      </c>
      <c r="B45" s="3" t="s">
        <v>33</v>
      </c>
      <c r="C45" s="3">
        <v>4</v>
      </c>
      <c r="D45" s="3" t="s">
        <v>34</v>
      </c>
      <c r="E45" s="3">
        <v>2.7</v>
      </c>
      <c r="F45" s="3">
        <v>1992</v>
      </c>
      <c r="G45" s="3">
        <v>15.25014</v>
      </c>
      <c r="H45" s="3">
        <v>10</v>
      </c>
      <c r="I45" s="4">
        <f t="shared" si="8"/>
        <v>4.1142813497620647</v>
      </c>
      <c r="J45" s="4">
        <v>1.3010499999999983</v>
      </c>
      <c r="K45" s="4">
        <v>22.647400000000001</v>
      </c>
      <c r="L45" s="3">
        <v>10</v>
      </c>
      <c r="M45" s="4">
        <f t="shared" si="7"/>
        <v>5.0671704771006087</v>
      </c>
      <c r="N45" s="4">
        <v>1.6023800000000001</v>
      </c>
      <c r="O45" s="4">
        <f t="shared" si="6"/>
        <v>0.39545637171400755</v>
      </c>
      <c r="P45" s="4">
        <f t="shared" si="3"/>
        <v>1.2284513796472388E-2</v>
      </c>
      <c r="Q45" s="4" t="s">
        <v>292</v>
      </c>
      <c r="R45" s="3" t="s">
        <v>103</v>
      </c>
      <c r="S45" s="3" t="s">
        <v>221</v>
      </c>
      <c r="T45" s="3" t="s">
        <v>134</v>
      </c>
      <c r="U45" s="3" t="s">
        <v>337</v>
      </c>
      <c r="V45" s="3" t="s">
        <v>333</v>
      </c>
      <c r="W45" s="3" t="s">
        <v>360</v>
      </c>
      <c r="X45" s="3" t="s">
        <v>148</v>
      </c>
      <c r="Y45" s="3">
        <v>100</v>
      </c>
      <c r="Z45" s="3">
        <v>0</v>
      </c>
      <c r="AA45" s="3">
        <v>30</v>
      </c>
      <c r="AB45" s="11" t="s">
        <v>397</v>
      </c>
    </row>
    <row r="46" spans="1:28">
      <c r="A46" s="3" t="s">
        <v>36</v>
      </c>
      <c r="B46" s="3" t="s">
        <v>37</v>
      </c>
      <c r="C46" s="3">
        <v>1</v>
      </c>
      <c r="D46" s="3" t="s">
        <v>10</v>
      </c>
      <c r="E46" s="3">
        <v>1.2</v>
      </c>
      <c r="F46" s="3">
        <v>2015</v>
      </c>
      <c r="G46" s="4">
        <v>12.412789999999999</v>
      </c>
      <c r="H46" s="3">
        <v>37</v>
      </c>
      <c r="I46" s="4">
        <f t="shared" si="8"/>
        <v>5.8707782561173341</v>
      </c>
      <c r="J46" s="4">
        <v>0.96515000000000128</v>
      </c>
      <c r="K46" s="4">
        <v>19.014330000000001</v>
      </c>
      <c r="L46" s="3">
        <v>37</v>
      </c>
      <c r="M46" s="4">
        <f t="shared" si="7"/>
        <v>9.4425155862831218</v>
      </c>
      <c r="N46" s="4">
        <v>1.5523399999999974</v>
      </c>
      <c r="O46" s="4">
        <f t="shared" si="6"/>
        <v>0.42646551277574202</v>
      </c>
      <c r="P46" s="4">
        <f t="shared" si="3"/>
        <v>1.271093508246079E-2</v>
      </c>
      <c r="Q46" s="4" t="s">
        <v>295</v>
      </c>
      <c r="R46" s="3" t="s">
        <v>106</v>
      </c>
      <c r="S46" s="3" t="s">
        <v>221</v>
      </c>
      <c r="T46" s="3" t="s">
        <v>8</v>
      </c>
      <c r="U46" s="3" t="s">
        <v>337</v>
      </c>
      <c r="V46" s="3" t="s">
        <v>333</v>
      </c>
      <c r="W46" s="3" t="s">
        <v>360</v>
      </c>
      <c r="X46" s="3" t="s">
        <v>102</v>
      </c>
      <c r="Y46" s="3" t="s">
        <v>363</v>
      </c>
      <c r="Z46" s="3">
        <v>0</v>
      </c>
      <c r="AA46" s="3">
        <v>365</v>
      </c>
      <c r="AB46" s="11" t="s">
        <v>397</v>
      </c>
    </row>
    <row r="47" spans="1:28">
      <c r="A47" s="3" t="s">
        <v>36</v>
      </c>
      <c r="B47" s="3" t="s">
        <v>37</v>
      </c>
      <c r="C47" s="3">
        <v>2</v>
      </c>
      <c r="D47" s="3" t="s">
        <v>10</v>
      </c>
      <c r="E47" s="3">
        <v>1.2</v>
      </c>
      <c r="F47" s="3">
        <v>2015</v>
      </c>
      <c r="G47" s="4">
        <v>23.254919999999998</v>
      </c>
      <c r="H47" s="3">
        <v>19</v>
      </c>
      <c r="I47" s="4">
        <f t="shared" si="8"/>
        <v>4.0502017203591336</v>
      </c>
      <c r="J47" s="4">
        <v>0.92918000000000234</v>
      </c>
      <c r="K47" s="4">
        <v>31.070869999999999</v>
      </c>
      <c r="L47" s="3">
        <v>19</v>
      </c>
      <c r="M47" s="4">
        <f t="shared" si="7"/>
        <v>6.8483097191861768</v>
      </c>
      <c r="N47" s="4">
        <v>1.5711099999999973</v>
      </c>
      <c r="O47" s="4">
        <f t="shared" si="6"/>
        <v>0.2897540017506039</v>
      </c>
      <c r="P47" s="4">
        <f t="shared" si="3"/>
        <v>4.1533605056303206E-3</v>
      </c>
      <c r="Q47" s="4" t="s">
        <v>295</v>
      </c>
      <c r="R47" s="3" t="s">
        <v>107</v>
      </c>
      <c r="S47" s="3" t="s">
        <v>221</v>
      </c>
      <c r="T47" s="3" t="s">
        <v>8</v>
      </c>
      <c r="U47" s="3" t="s">
        <v>337</v>
      </c>
      <c r="V47" s="3" t="s">
        <v>333</v>
      </c>
      <c r="W47" s="3" t="s">
        <v>360</v>
      </c>
      <c r="X47" s="3" t="s">
        <v>102</v>
      </c>
      <c r="Y47" s="3" t="s">
        <v>363</v>
      </c>
      <c r="Z47" s="3">
        <v>0</v>
      </c>
      <c r="AA47" s="3">
        <v>365</v>
      </c>
      <c r="AB47" s="11" t="s">
        <v>397</v>
      </c>
    </row>
    <row r="48" spans="1:28">
      <c r="A48" s="3" t="s">
        <v>36</v>
      </c>
      <c r="B48" s="3" t="s">
        <v>37</v>
      </c>
      <c r="C48" s="3">
        <v>3</v>
      </c>
      <c r="D48" s="3" t="s">
        <v>10</v>
      </c>
      <c r="E48" s="3">
        <v>1.2</v>
      </c>
      <c r="F48" s="3">
        <v>2015</v>
      </c>
      <c r="G48" s="4">
        <v>9.3445400000000003</v>
      </c>
      <c r="H48" s="3">
        <v>53</v>
      </c>
      <c r="I48" s="4">
        <f t="shared" si="8"/>
        <v>5.9592795520683488</v>
      </c>
      <c r="J48" s="4">
        <v>0.81856999999999935</v>
      </c>
      <c r="K48" s="4">
        <v>23.866540000000001</v>
      </c>
      <c r="L48" s="3">
        <v>53</v>
      </c>
      <c r="M48" s="4">
        <f t="shared" si="7"/>
        <v>10.59467112077103</v>
      </c>
      <c r="N48" s="4">
        <v>1.455289999999998</v>
      </c>
      <c r="O48" s="4">
        <f t="shared" si="6"/>
        <v>0.93768526250991624</v>
      </c>
      <c r="P48" s="4">
        <f t="shared" si="3"/>
        <v>1.1391632848369197E-2</v>
      </c>
      <c r="Q48" s="4" t="s">
        <v>296</v>
      </c>
      <c r="R48" s="3" t="s">
        <v>108</v>
      </c>
      <c r="S48" s="3" t="s">
        <v>221</v>
      </c>
      <c r="T48" s="3" t="s">
        <v>8</v>
      </c>
      <c r="U48" s="3" t="s">
        <v>337</v>
      </c>
      <c r="V48" s="3" t="s">
        <v>333</v>
      </c>
      <c r="W48" s="3" t="s">
        <v>360</v>
      </c>
      <c r="X48" s="3" t="s">
        <v>102</v>
      </c>
      <c r="Y48" s="3" t="s">
        <v>363</v>
      </c>
      <c r="Z48" s="3">
        <v>0</v>
      </c>
      <c r="AA48" s="3">
        <v>365</v>
      </c>
      <c r="AB48" s="11" t="s">
        <v>397</v>
      </c>
    </row>
    <row r="49" spans="1:28">
      <c r="A49" s="3" t="s">
        <v>38</v>
      </c>
      <c r="B49" s="3" t="s">
        <v>39</v>
      </c>
      <c r="C49" s="3">
        <v>1</v>
      </c>
      <c r="D49" s="3" t="s">
        <v>40</v>
      </c>
      <c r="E49" s="3">
        <v>2.8</v>
      </c>
      <c r="F49" s="3">
        <v>1993</v>
      </c>
      <c r="G49" s="4">
        <v>17.508289999999999</v>
      </c>
      <c r="H49" s="3">
        <v>5</v>
      </c>
      <c r="I49" s="4">
        <v>8.6534000000000013</v>
      </c>
      <c r="J49" s="4">
        <f t="shared" ref="J49:J52" si="9">I49 / SQRT(H49)</f>
        <v>3.8699181272993366</v>
      </c>
      <c r="K49" s="4">
        <v>33.091290000000001</v>
      </c>
      <c r="L49" s="3">
        <v>5</v>
      </c>
      <c r="M49" s="4">
        <v>6.1216500000000025</v>
      </c>
      <c r="N49" s="4">
        <f>M49 / SQRT(L49)</f>
        <v>2.7376851068923185</v>
      </c>
      <c r="O49" s="4">
        <f t="shared" si="6"/>
        <v>0.63659562271313785</v>
      </c>
      <c r="P49" s="4">
        <f t="shared" si="3"/>
        <v>5.5700262071945221E-2</v>
      </c>
      <c r="Q49" s="4" t="s">
        <v>297</v>
      </c>
      <c r="R49" s="3" t="s">
        <v>109</v>
      </c>
      <c r="S49" s="3" t="s">
        <v>221</v>
      </c>
      <c r="T49" s="3" t="s">
        <v>8</v>
      </c>
      <c r="U49" s="3" t="s">
        <v>337</v>
      </c>
      <c r="V49" s="3" t="s">
        <v>333</v>
      </c>
      <c r="W49" s="3" t="s">
        <v>360</v>
      </c>
      <c r="X49" s="3" t="s">
        <v>102</v>
      </c>
      <c r="Y49" s="3">
        <v>40</v>
      </c>
      <c r="Z49" s="3">
        <v>0</v>
      </c>
      <c r="AA49" s="3">
        <v>56</v>
      </c>
      <c r="AB49" s="11" t="s">
        <v>397</v>
      </c>
    </row>
    <row r="50" spans="1:28">
      <c r="A50" s="3" t="s">
        <v>38</v>
      </c>
      <c r="B50" s="3" t="s">
        <v>39</v>
      </c>
      <c r="C50" s="3">
        <v>2</v>
      </c>
      <c r="D50" s="3" t="s">
        <v>40</v>
      </c>
      <c r="E50" s="3">
        <v>2.8</v>
      </c>
      <c r="F50" s="3">
        <v>1993</v>
      </c>
      <c r="G50" s="4">
        <v>17.508289999999999</v>
      </c>
      <c r="H50" s="3">
        <v>5</v>
      </c>
      <c r="I50" s="4">
        <v>8.6534000000000013</v>
      </c>
      <c r="J50" s="4">
        <f t="shared" si="9"/>
        <v>3.8699181272993366</v>
      </c>
      <c r="K50" s="4">
        <v>36.410080000000001</v>
      </c>
      <c r="L50" s="3">
        <v>5</v>
      </c>
      <c r="M50" s="4">
        <v>2.6760000000000019</v>
      </c>
      <c r="N50" s="4">
        <f>M50 / SQRT(L50)</f>
        <v>1.1967435815578882</v>
      </c>
      <c r="O50" s="4">
        <f t="shared" si="6"/>
        <v>0.73217117633550777</v>
      </c>
      <c r="P50" s="4">
        <f t="shared" si="3"/>
        <v>4.9936131986544147E-2</v>
      </c>
      <c r="Q50" s="4" t="s">
        <v>297</v>
      </c>
      <c r="R50" s="3" t="s">
        <v>109</v>
      </c>
      <c r="S50" s="3" t="s">
        <v>221</v>
      </c>
      <c r="T50" s="3" t="s">
        <v>8</v>
      </c>
      <c r="U50" s="3" t="s">
        <v>337</v>
      </c>
      <c r="V50" s="3" t="s">
        <v>333</v>
      </c>
      <c r="W50" s="3" t="s">
        <v>360</v>
      </c>
      <c r="X50" s="3" t="s">
        <v>102</v>
      </c>
      <c r="Y50" s="3">
        <v>80</v>
      </c>
      <c r="Z50" s="3">
        <v>0</v>
      </c>
      <c r="AA50" s="3">
        <v>56</v>
      </c>
      <c r="AB50" s="11" t="s">
        <v>397</v>
      </c>
    </row>
    <row r="51" spans="1:28">
      <c r="A51" s="3" t="s">
        <v>38</v>
      </c>
      <c r="B51" s="3" t="s">
        <v>39</v>
      </c>
      <c r="C51" s="3">
        <v>3</v>
      </c>
      <c r="D51" s="3" t="s">
        <v>40</v>
      </c>
      <c r="E51" s="3">
        <v>2.8</v>
      </c>
      <c r="F51" s="3">
        <v>1993</v>
      </c>
      <c r="G51" s="4">
        <v>26.139250000000001</v>
      </c>
      <c r="H51" s="3">
        <v>5</v>
      </c>
      <c r="I51" s="4">
        <v>13.050099999999997</v>
      </c>
      <c r="J51" s="4">
        <f t="shared" si="9"/>
        <v>5.8361821426339997</v>
      </c>
      <c r="K51" s="4">
        <v>30.56419</v>
      </c>
      <c r="L51" s="3">
        <v>5</v>
      </c>
      <c r="M51" s="4">
        <v>4.6670399999999965</v>
      </c>
      <c r="N51" s="4">
        <f>M51 / SQRT(L51)</f>
        <v>2.087163738742122</v>
      </c>
      <c r="O51" s="4">
        <f t="shared" si="6"/>
        <v>0.15639104610564017</v>
      </c>
      <c r="P51" s="4">
        <f t="shared" si="3"/>
        <v>5.4513953946251331E-2</v>
      </c>
      <c r="Q51" s="4" t="s">
        <v>297</v>
      </c>
      <c r="R51" s="3" t="s">
        <v>109</v>
      </c>
      <c r="S51" s="3" t="s">
        <v>221</v>
      </c>
      <c r="T51" s="3" t="s">
        <v>8</v>
      </c>
      <c r="U51" s="3" t="s">
        <v>337</v>
      </c>
      <c r="V51" s="3" t="s">
        <v>332</v>
      </c>
      <c r="W51" s="3" t="s">
        <v>360</v>
      </c>
      <c r="X51" s="3" t="s">
        <v>102</v>
      </c>
      <c r="Y51" s="3">
        <v>40</v>
      </c>
      <c r="Z51" s="3">
        <v>0</v>
      </c>
      <c r="AA51" s="3">
        <v>56</v>
      </c>
      <c r="AB51" s="11" t="s">
        <v>397</v>
      </c>
    </row>
    <row r="52" spans="1:28">
      <c r="A52" s="3" t="s">
        <v>38</v>
      </c>
      <c r="B52" s="3" t="s">
        <v>39</v>
      </c>
      <c r="C52" s="3">
        <v>4</v>
      </c>
      <c r="D52" s="3" t="s">
        <v>40</v>
      </c>
      <c r="E52" s="3">
        <v>2.8</v>
      </c>
      <c r="F52" s="3">
        <v>1993</v>
      </c>
      <c r="G52" s="4">
        <v>26.139250000000001</v>
      </c>
      <c r="H52" s="3">
        <v>5</v>
      </c>
      <c r="I52" s="4">
        <v>13.050099999999997</v>
      </c>
      <c r="J52" s="4">
        <f t="shared" si="9"/>
        <v>5.8361821426339997</v>
      </c>
      <c r="K52" s="4">
        <v>23.85427</v>
      </c>
      <c r="L52" s="3">
        <v>5</v>
      </c>
      <c r="M52" s="4">
        <v>6.820920000000001</v>
      </c>
      <c r="N52" s="4">
        <f>M52 / SQRT(L52)</f>
        <v>3.0504081578175732</v>
      </c>
      <c r="O52" s="4">
        <f t="shared" si="6"/>
        <v>-9.1474779175375776E-2</v>
      </c>
      <c r="P52" s="4">
        <f t="shared" si="3"/>
        <v>6.6203200129903578E-2</v>
      </c>
      <c r="Q52" s="4" t="s">
        <v>297</v>
      </c>
      <c r="R52" s="3" t="s">
        <v>109</v>
      </c>
      <c r="S52" s="3" t="s">
        <v>221</v>
      </c>
      <c r="T52" s="3" t="s">
        <v>8</v>
      </c>
      <c r="U52" s="3" t="s">
        <v>337</v>
      </c>
      <c r="V52" s="3" t="s">
        <v>332</v>
      </c>
      <c r="W52" s="3" t="s">
        <v>360</v>
      </c>
      <c r="X52" s="3" t="s">
        <v>102</v>
      </c>
      <c r="Y52" s="3">
        <v>80</v>
      </c>
      <c r="Z52" s="3">
        <v>0</v>
      </c>
      <c r="AA52" s="3">
        <v>56</v>
      </c>
      <c r="AB52" s="11" t="s">
        <v>397</v>
      </c>
    </row>
    <row r="53" spans="1:28">
      <c r="A53" s="3" t="s">
        <v>43</v>
      </c>
      <c r="B53" s="3" t="s">
        <v>44</v>
      </c>
      <c r="C53" s="3">
        <v>1</v>
      </c>
      <c r="D53" s="3" t="s">
        <v>40</v>
      </c>
      <c r="E53" s="3">
        <v>2.8</v>
      </c>
      <c r="F53" s="3">
        <v>2004</v>
      </c>
      <c r="G53" s="4">
        <v>1.17465</v>
      </c>
      <c r="H53" s="3">
        <v>6</v>
      </c>
      <c r="I53" s="4">
        <f t="shared" ref="I53:I60" si="10" xml:space="preserve"> J53 * SQRT(H53)</f>
        <v>1.934215080491309</v>
      </c>
      <c r="J53" s="4">
        <v>0.78964000000000012</v>
      </c>
      <c r="K53" s="4">
        <v>1.85364</v>
      </c>
      <c r="L53" s="3">
        <v>6</v>
      </c>
      <c r="M53" s="4">
        <f t="shared" ref="M53:M60" si="11" xml:space="preserve"> N53 * SQRT(L53)</f>
        <v>2.0217353490009513</v>
      </c>
      <c r="N53" s="4">
        <v>0.82536999999999994</v>
      </c>
      <c r="O53" s="4">
        <f t="shared" si="6"/>
        <v>0.45618104264910359</v>
      </c>
      <c r="P53" s="4">
        <f t="shared" si="3"/>
        <v>0.65016416767360785</v>
      </c>
      <c r="Q53" s="4" t="s">
        <v>298</v>
      </c>
      <c r="R53" s="3" t="s">
        <v>177</v>
      </c>
      <c r="S53" s="3" t="s">
        <v>221</v>
      </c>
      <c r="T53" s="3" t="s">
        <v>8</v>
      </c>
      <c r="U53" s="3" t="s">
        <v>337</v>
      </c>
      <c r="V53" s="3" t="s">
        <v>333</v>
      </c>
      <c r="W53" s="3" t="s">
        <v>360</v>
      </c>
      <c r="X53" s="3" t="s">
        <v>148</v>
      </c>
      <c r="Y53" s="3">
        <v>90</v>
      </c>
      <c r="Z53" s="3">
        <v>5</v>
      </c>
      <c r="AA53" s="3">
        <v>387</v>
      </c>
      <c r="AB53" s="11" t="s">
        <v>397</v>
      </c>
    </row>
    <row r="54" spans="1:28">
      <c r="A54" s="3" t="s">
        <v>43</v>
      </c>
      <c r="B54" s="3" t="s">
        <v>44</v>
      </c>
      <c r="C54" s="3">
        <v>2</v>
      </c>
      <c r="D54" s="3" t="s">
        <v>40</v>
      </c>
      <c r="E54" s="3">
        <v>2.8</v>
      </c>
      <c r="F54" s="3">
        <v>2004</v>
      </c>
      <c r="G54" s="4">
        <v>3.2080700000000002</v>
      </c>
      <c r="H54" s="3">
        <v>6</v>
      </c>
      <c r="I54" s="4">
        <f t="shared" si="10"/>
        <v>2.0438297464808559</v>
      </c>
      <c r="J54" s="4">
        <v>0.83438999999999997</v>
      </c>
      <c r="K54" s="4">
        <v>3.4656899999999999</v>
      </c>
      <c r="L54" s="3">
        <v>6</v>
      </c>
      <c r="M54" s="4">
        <f t="shared" si="11"/>
        <v>2.0102962319021542</v>
      </c>
      <c r="N54" s="4">
        <v>0.82069999999999999</v>
      </c>
      <c r="O54" s="4">
        <f t="shared" si="6"/>
        <v>7.7242236801334602E-2</v>
      </c>
      <c r="P54" s="4">
        <f t="shared" si="3"/>
        <v>0.12372490932238003</v>
      </c>
      <c r="Q54" s="4" t="s">
        <v>298</v>
      </c>
      <c r="R54" s="3" t="s">
        <v>177</v>
      </c>
      <c r="S54" s="3" t="s">
        <v>221</v>
      </c>
      <c r="T54" s="3" t="s">
        <v>8</v>
      </c>
      <c r="U54" s="3" t="s">
        <v>337</v>
      </c>
      <c r="V54" s="3" t="s">
        <v>333</v>
      </c>
      <c r="W54" s="3" t="s">
        <v>360</v>
      </c>
      <c r="X54" s="3" t="s">
        <v>148</v>
      </c>
      <c r="Y54" s="3">
        <v>90</v>
      </c>
      <c r="Z54" s="3">
        <v>5</v>
      </c>
      <c r="AA54" s="3">
        <v>387</v>
      </c>
      <c r="AB54" s="11" t="s">
        <v>397</v>
      </c>
    </row>
    <row r="55" spans="1:28">
      <c r="A55" s="3" t="s">
        <v>43</v>
      </c>
      <c r="B55" s="3" t="s">
        <v>44</v>
      </c>
      <c r="C55" s="3">
        <v>3</v>
      </c>
      <c r="D55" s="3" t="s">
        <v>40</v>
      </c>
      <c r="E55" s="3">
        <v>2.8</v>
      </c>
      <c r="F55" s="3">
        <v>2004</v>
      </c>
      <c r="G55" s="4">
        <v>5.3718199999999996</v>
      </c>
      <c r="H55" s="3">
        <v>6</v>
      </c>
      <c r="I55" s="4">
        <f t="shared" si="10"/>
        <v>1.9337006876453249</v>
      </c>
      <c r="J55" s="4">
        <v>0.7894300000000003</v>
      </c>
      <c r="K55" s="4">
        <v>6.3701499999999998</v>
      </c>
      <c r="L55" s="3">
        <v>6</v>
      </c>
      <c r="M55" s="4">
        <f t="shared" si="11"/>
        <v>1.9734804010681233</v>
      </c>
      <c r="N55" s="4">
        <v>0.80567000000000011</v>
      </c>
      <c r="O55" s="4">
        <f t="shared" si="6"/>
        <v>0.17045624616161467</v>
      </c>
      <c r="P55" s="4">
        <f t="shared" si="3"/>
        <v>3.7592683755339924E-2</v>
      </c>
      <c r="Q55" s="4" t="s">
        <v>298</v>
      </c>
      <c r="R55" s="3" t="s">
        <v>177</v>
      </c>
      <c r="S55" s="3" t="s">
        <v>221</v>
      </c>
      <c r="T55" s="3" t="s">
        <v>8</v>
      </c>
      <c r="U55" s="3" t="s">
        <v>337</v>
      </c>
      <c r="V55" s="3" t="s">
        <v>333</v>
      </c>
      <c r="W55" s="3" t="s">
        <v>360</v>
      </c>
      <c r="X55" s="3" t="s">
        <v>148</v>
      </c>
      <c r="Y55" s="3">
        <v>90</v>
      </c>
      <c r="Z55" s="3">
        <v>5</v>
      </c>
      <c r="AA55" s="3">
        <v>387</v>
      </c>
      <c r="AB55" s="11" t="s">
        <v>397</v>
      </c>
    </row>
    <row r="56" spans="1:28">
      <c r="A56" s="3" t="s">
        <v>43</v>
      </c>
      <c r="B56" s="3" t="s">
        <v>44</v>
      </c>
      <c r="C56" s="3">
        <v>4</v>
      </c>
      <c r="D56" s="3" t="s">
        <v>40</v>
      </c>
      <c r="E56" s="3">
        <v>2.8</v>
      </c>
      <c r="F56" s="3">
        <v>2004</v>
      </c>
      <c r="G56" s="4">
        <v>6.4405000000000001</v>
      </c>
      <c r="H56" s="3">
        <v>6</v>
      </c>
      <c r="I56" s="4">
        <f t="shared" si="10"/>
        <v>2.3700527904247202</v>
      </c>
      <c r="J56" s="4">
        <v>0.96757000000000026</v>
      </c>
      <c r="K56" s="4">
        <v>10.54569</v>
      </c>
      <c r="L56" s="3">
        <v>6</v>
      </c>
      <c r="M56" s="4">
        <f t="shared" si="11"/>
        <v>2.2308237934449213</v>
      </c>
      <c r="N56" s="4">
        <v>0.91072999999999915</v>
      </c>
      <c r="O56" s="4">
        <f t="shared" si="6"/>
        <v>0.49311106879093863</v>
      </c>
      <c r="P56" s="4">
        <f t="shared" si="3"/>
        <v>3.0027809911265795E-2</v>
      </c>
      <c r="Q56" s="4" t="s">
        <v>298</v>
      </c>
      <c r="R56" s="3" t="s">
        <v>177</v>
      </c>
      <c r="S56" s="3" t="s">
        <v>221</v>
      </c>
      <c r="T56" s="3" t="s">
        <v>8</v>
      </c>
      <c r="U56" s="3" t="s">
        <v>337</v>
      </c>
      <c r="V56" s="3" t="s">
        <v>333</v>
      </c>
      <c r="W56" s="3" t="s">
        <v>360</v>
      </c>
      <c r="X56" s="3" t="s">
        <v>148</v>
      </c>
      <c r="Y56" s="3">
        <v>90</v>
      </c>
      <c r="Z56" s="3">
        <v>5</v>
      </c>
      <c r="AA56" s="3">
        <v>387</v>
      </c>
      <c r="AB56" s="11" t="s">
        <v>397</v>
      </c>
    </row>
    <row r="57" spans="1:28">
      <c r="A57" s="3" t="s">
        <v>43</v>
      </c>
      <c r="B57" s="3" t="s">
        <v>44</v>
      </c>
      <c r="C57" s="3">
        <v>5</v>
      </c>
      <c r="D57" s="3" t="s">
        <v>40</v>
      </c>
      <c r="E57" s="3">
        <v>2.8</v>
      </c>
      <c r="F57" s="3">
        <v>2004</v>
      </c>
      <c r="G57" s="4">
        <v>1.39493</v>
      </c>
      <c r="H57" s="3">
        <v>6</v>
      </c>
      <c r="I57" s="4">
        <f t="shared" si="10"/>
        <v>1.9550847330998218</v>
      </c>
      <c r="J57" s="4">
        <v>0.7981600000000002</v>
      </c>
      <c r="K57" s="4">
        <v>2.0053999999999998</v>
      </c>
      <c r="L57" s="3">
        <v>6</v>
      </c>
      <c r="M57" s="4">
        <f t="shared" si="11"/>
        <v>1.9177790043172342</v>
      </c>
      <c r="N57" s="4">
        <v>0.78293000000000035</v>
      </c>
      <c r="O57" s="4">
        <f t="shared" si="6"/>
        <v>0.3629993073048472</v>
      </c>
      <c r="P57" s="4">
        <f t="shared" si="3"/>
        <v>0.47981796038932845</v>
      </c>
      <c r="Q57" s="4" t="s">
        <v>298</v>
      </c>
      <c r="R57" s="3" t="s">
        <v>177</v>
      </c>
      <c r="S57" s="3" t="s">
        <v>221</v>
      </c>
      <c r="T57" s="3" t="s">
        <v>8</v>
      </c>
      <c r="U57" s="3" t="s">
        <v>337</v>
      </c>
      <c r="V57" s="3" t="s">
        <v>333</v>
      </c>
      <c r="W57" s="3" t="s">
        <v>360</v>
      </c>
      <c r="X57" s="3" t="s">
        <v>148</v>
      </c>
      <c r="Y57" s="3">
        <v>90</v>
      </c>
      <c r="Z57" s="3">
        <v>5</v>
      </c>
      <c r="AA57" s="3">
        <v>387</v>
      </c>
      <c r="AB57" s="11" t="s">
        <v>397</v>
      </c>
    </row>
    <row r="58" spans="1:28">
      <c r="A58" s="3" t="s">
        <v>43</v>
      </c>
      <c r="B58" s="3" t="s">
        <v>44</v>
      </c>
      <c r="C58" s="3">
        <v>6</v>
      </c>
      <c r="D58" s="3" t="s">
        <v>40</v>
      </c>
      <c r="E58" s="3">
        <v>2.8</v>
      </c>
      <c r="F58" s="3">
        <v>2004</v>
      </c>
      <c r="G58" s="4">
        <v>2.4298999999999999</v>
      </c>
      <c r="H58" s="3">
        <v>6</v>
      </c>
      <c r="I58" s="4">
        <f t="shared" si="10"/>
        <v>2.0898556587477519</v>
      </c>
      <c r="J58" s="4">
        <v>0.85318000000000005</v>
      </c>
      <c r="K58" s="4">
        <v>3.0118499999999999</v>
      </c>
      <c r="L58" s="3">
        <v>6</v>
      </c>
      <c r="M58" s="4">
        <f t="shared" si="11"/>
        <v>1.7285804165846612</v>
      </c>
      <c r="N58" s="4">
        <v>0.70569000000000015</v>
      </c>
      <c r="O58" s="4">
        <f t="shared" si="6"/>
        <v>0.21470440365842849</v>
      </c>
      <c r="P58" s="4">
        <f t="shared" si="3"/>
        <v>0.17818197680304271</v>
      </c>
      <c r="Q58" s="4" t="s">
        <v>298</v>
      </c>
      <c r="R58" s="3" t="s">
        <v>177</v>
      </c>
      <c r="S58" s="3" t="s">
        <v>221</v>
      </c>
      <c r="T58" s="3" t="s">
        <v>8</v>
      </c>
      <c r="U58" s="3" t="s">
        <v>337</v>
      </c>
      <c r="V58" s="3" t="s">
        <v>333</v>
      </c>
      <c r="W58" s="3" t="s">
        <v>360</v>
      </c>
      <c r="X58" s="3" t="s">
        <v>148</v>
      </c>
      <c r="Y58" s="3">
        <v>90</v>
      </c>
      <c r="Z58" s="3">
        <v>5</v>
      </c>
      <c r="AA58" s="3">
        <v>387</v>
      </c>
      <c r="AB58" s="11" t="s">
        <v>397</v>
      </c>
    </row>
    <row r="59" spans="1:28">
      <c r="A59" s="3" t="s">
        <v>43</v>
      </c>
      <c r="B59" s="3" t="s">
        <v>44</v>
      </c>
      <c r="C59" s="3">
        <v>7</v>
      </c>
      <c r="D59" s="3" t="s">
        <v>40</v>
      </c>
      <c r="E59" s="3">
        <v>2.8</v>
      </c>
      <c r="F59" s="3">
        <v>2004</v>
      </c>
      <c r="G59" s="4">
        <v>4.0775899999999998</v>
      </c>
      <c r="H59" s="3">
        <v>6</v>
      </c>
      <c r="I59" s="4">
        <f t="shared" si="10"/>
        <v>2.080131184468903</v>
      </c>
      <c r="J59" s="4">
        <v>0.84921000000000024</v>
      </c>
      <c r="K59" s="4">
        <v>4.4617899999999997</v>
      </c>
      <c r="L59" s="3">
        <v>6</v>
      </c>
      <c r="M59" s="4">
        <f t="shared" si="11"/>
        <v>1.8693036023075542</v>
      </c>
      <c r="N59" s="4">
        <v>0.76313999999999993</v>
      </c>
      <c r="O59" s="4">
        <f t="shared" si="6"/>
        <v>9.0043903188280094E-2</v>
      </c>
      <c r="P59" s="4">
        <f t="shared" si="3"/>
        <v>7.2627693999494883E-2</v>
      </c>
      <c r="Q59" s="4" t="s">
        <v>298</v>
      </c>
      <c r="R59" s="3" t="s">
        <v>177</v>
      </c>
      <c r="S59" s="3" t="s">
        <v>221</v>
      </c>
      <c r="T59" s="3" t="s">
        <v>8</v>
      </c>
      <c r="U59" s="3" t="s">
        <v>337</v>
      </c>
      <c r="V59" s="3" t="s">
        <v>333</v>
      </c>
      <c r="W59" s="3" t="s">
        <v>360</v>
      </c>
      <c r="X59" s="3" t="s">
        <v>148</v>
      </c>
      <c r="Y59" s="3">
        <v>90</v>
      </c>
      <c r="Z59" s="3">
        <v>5</v>
      </c>
      <c r="AA59" s="3">
        <v>387</v>
      </c>
      <c r="AB59" s="11" t="s">
        <v>397</v>
      </c>
    </row>
    <row r="60" spans="1:28">
      <c r="A60" s="3" t="s">
        <v>43</v>
      </c>
      <c r="B60" s="3" t="s">
        <v>44</v>
      </c>
      <c r="C60" s="3">
        <v>8</v>
      </c>
      <c r="D60" s="3" t="s">
        <v>40</v>
      </c>
      <c r="E60" s="3">
        <v>2.8</v>
      </c>
      <c r="F60" s="3">
        <v>2004</v>
      </c>
      <c r="G60" s="4">
        <v>9.1825399999999995</v>
      </c>
      <c r="H60" s="3">
        <v>6</v>
      </c>
      <c r="I60" s="4">
        <f t="shared" si="10"/>
        <v>2.0319007314335029</v>
      </c>
      <c r="J60" s="4">
        <v>0.82952000000000048</v>
      </c>
      <c r="K60" s="4">
        <v>11.01984</v>
      </c>
      <c r="L60" s="3">
        <v>6</v>
      </c>
      <c r="M60" s="4">
        <f t="shared" si="11"/>
        <v>1.8777543419201539</v>
      </c>
      <c r="N60" s="4">
        <v>0.76658999999999899</v>
      </c>
      <c r="O60" s="4">
        <f t="shared" si="6"/>
        <v>0.18239342974873721</v>
      </c>
      <c r="P60" s="4">
        <f t="shared" si="3"/>
        <v>1.2999936216554622E-2</v>
      </c>
      <c r="Q60" s="4" t="s">
        <v>298</v>
      </c>
      <c r="R60" s="3" t="s">
        <v>177</v>
      </c>
      <c r="S60" s="3" t="s">
        <v>221</v>
      </c>
      <c r="T60" s="3" t="s">
        <v>8</v>
      </c>
      <c r="U60" s="3" t="s">
        <v>337</v>
      </c>
      <c r="V60" s="3" t="s">
        <v>333</v>
      </c>
      <c r="W60" s="3" t="s">
        <v>360</v>
      </c>
      <c r="X60" s="3" t="s">
        <v>148</v>
      </c>
      <c r="Y60" s="3">
        <v>90</v>
      </c>
      <c r="Z60" s="3">
        <v>5</v>
      </c>
      <c r="AA60" s="3">
        <v>387</v>
      </c>
      <c r="AB60" s="11" t="s">
        <v>397</v>
      </c>
    </row>
    <row r="61" spans="1:28">
      <c r="A61" s="3" t="s">
        <v>45</v>
      </c>
      <c r="B61" s="3" t="s">
        <v>46</v>
      </c>
      <c r="C61" s="3">
        <v>1</v>
      </c>
      <c r="D61" s="3" t="s">
        <v>47</v>
      </c>
      <c r="E61" s="3">
        <v>2.1</v>
      </c>
      <c r="F61" s="3">
        <v>2013</v>
      </c>
      <c r="G61" s="4">
        <v>127.37777</v>
      </c>
      <c r="H61" s="3">
        <v>3</v>
      </c>
      <c r="I61" s="4">
        <v>29.928580000000011</v>
      </c>
      <c r="J61" s="4">
        <f t="shared" ref="J61:J64" si="12">I61 / SQRT(H61)</f>
        <v>17.279273719463259</v>
      </c>
      <c r="K61" s="4">
        <v>130.51455999999999</v>
      </c>
      <c r="L61" s="3">
        <v>3</v>
      </c>
      <c r="M61" s="4">
        <v>30.34059000000002</v>
      </c>
      <c r="N61" s="4">
        <f>M61 / SQRT(L61)</f>
        <v>17.517147803872081</v>
      </c>
      <c r="O61" s="4">
        <f t="shared" si="6"/>
        <v>2.4327553303377145E-2</v>
      </c>
      <c r="P61" s="4">
        <f t="shared" si="3"/>
        <v>3.6415889407964135E-2</v>
      </c>
      <c r="Q61" s="4" t="s">
        <v>290</v>
      </c>
      <c r="R61" s="3" t="s">
        <v>96</v>
      </c>
      <c r="S61" s="3" t="s">
        <v>221</v>
      </c>
      <c r="T61" s="3" t="s">
        <v>97</v>
      </c>
      <c r="U61" s="3" t="s">
        <v>337</v>
      </c>
      <c r="V61" s="3" t="s">
        <v>332</v>
      </c>
      <c r="W61" s="3" t="s">
        <v>112</v>
      </c>
      <c r="X61" s="3" t="s">
        <v>99</v>
      </c>
      <c r="Y61" s="3">
        <v>25</v>
      </c>
      <c r="Z61" s="3">
        <v>4</v>
      </c>
      <c r="AA61" s="3">
        <v>7</v>
      </c>
      <c r="AB61" s="11" t="s">
        <v>397</v>
      </c>
    </row>
    <row r="62" spans="1:28">
      <c r="A62" s="3" t="s">
        <v>45</v>
      </c>
      <c r="B62" s="3" t="s">
        <v>46</v>
      </c>
      <c r="C62" s="3">
        <v>2</v>
      </c>
      <c r="D62" s="3" t="s">
        <v>47</v>
      </c>
      <c r="E62" s="3">
        <v>2.1</v>
      </c>
      <c r="F62" s="3">
        <v>2013</v>
      </c>
      <c r="G62" s="4">
        <v>127.37777</v>
      </c>
      <c r="H62" s="3">
        <v>3</v>
      </c>
      <c r="I62" s="4">
        <v>29.928580000000011</v>
      </c>
      <c r="J62" s="4">
        <f t="shared" si="12"/>
        <v>17.279273719463259</v>
      </c>
      <c r="K62" s="4">
        <v>278.60282000000001</v>
      </c>
      <c r="L62" s="3">
        <v>3</v>
      </c>
      <c r="M62" s="4">
        <v>31.13715000000002</v>
      </c>
      <c r="N62" s="4">
        <f>M62 / SQRT(L62)</f>
        <v>17.97704193429777</v>
      </c>
      <c r="O62" s="4">
        <f t="shared" si="6"/>
        <v>0.7826299452162141</v>
      </c>
      <c r="P62" s="4">
        <f t="shared" si="3"/>
        <v>2.2565509133603699E-2</v>
      </c>
      <c r="Q62" s="4" t="s">
        <v>290</v>
      </c>
      <c r="R62" s="3" t="s">
        <v>96</v>
      </c>
      <c r="S62" s="3" t="s">
        <v>221</v>
      </c>
      <c r="T62" s="3" t="s">
        <v>97</v>
      </c>
      <c r="U62" s="3" t="s">
        <v>337</v>
      </c>
      <c r="V62" s="3" t="s">
        <v>332</v>
      </c>
      <c r="W62" s="3" t="s">
        <v>112</v>
      </c>
      <c r="X62" s="3" t="s">
        <v>99</v>
      </c>
      <c r="Y62" s="3">
        <v>25</v>
      </c>
      <c r="Z62" s="3">
        <v>4</v>
      </c>
      <c r="AA62" s="3">
        <v>7</v>
      </c>
      <c r="AB62" s="11" t="s">
        <v>397</v>
      </c>
    </row>
    <row r="63" spans="1:28">
      <c r="A63" s="3" t="s">
        <v>45</v>
      </c>
      <c r="B63" s="3" t="s">
        <v>46</v>
      </c>
      <c r="C63" s="3">
        <v>3</v>
      </c>
      <c r="D63" s="3" t="s">
        <v>47</v>
      </c>
      <c r="E63" s="3">
        <v>2.1</v>
      </c>
      <c r="F63" s="3">
        <v>2013</v>
      </c>
      <c r="G63" s="4">
        <v>119.14851</v>
      </c>
      <c r="H63" s="3">
        <v>3</v>
      </c>
      <c r="I63" s="4">
        <v>30.291150000000002</v>
      </c>
      <c r="J63" s="4">
        <f t="shared" si="12"/>
        <v>17.488603606563334</v>
      </c>
      <c r="K63" s="4">
        <v>141.51804000000001</v>
      </c>
      <c r="L63" s="3">
        <v>3</v>
      </c>
      <c r="M63" s="4">
        <v>34.043209999999988</v>
      </c>
      <c r="N63" s="4">
        <f>M63 / SQRT(L63)</f>
        <v>19.654856457578955</v>
      </c>
      <c r="O63" s="4">
        <f t="shared" si="6"/>
        <v>0.17205650190199115</v>
      </c>
      <c r="P63" s="4">
        <f t="shared" si="3"/>
        <v>4.0833617779062227E-2</v>
      </c>
      <c r="Q63" s="4" t="s">
        <v>290</v>
      </c>
      <c r="R63" s="3" t="s">
        <v>96</v>
      </c>
      <c r="S63" s="3" t="s">
        <v>221</v>
      </c>
      <c r="T63" s="3" t="s">
        <v>97</v>
      </c>
      <c r="U63" s="3" t="s">
        <v>337</v>
      </c>
      <c r="V63" s="3" t="s">
        <v>332</v>
      </c>
      <c r="W63" s="3" t="s">
        <v>112</v>
      </c>
      <c r="X63" s="3" t="s">
        <v>98</v>
      </c>
      <c r="Y63" s="3">
        <v>25</v>
      </c>
      <c r="Z63" s="3">
        <v>4</v>
      </c>
      <c r="AA63" s="3">
        <v>7</v>
      </c>
      <c r="AB63" s="11" t="s">
        <v>397</v>
      </c>
    </row>
    <row r="64" spans="1:28">
      <c r="A64" s="3" t="s">
        <v>45</v>
      </c>
      <c r="B64" s="3" t="s">
        <v>46</v>
      </c>
      <c r="C64" s="3">
        <v>4</v>
      </c>
      <c r="D64" s="3" t="s">
        <v>47</v>
      </c>
      <c r="E64" s="3">
        <v>2.1</v>
      </c>
      <c r="F64" s="3">
        <v>2013</v>
      </c>
      <c r="G64" s="4">
        <v>119.14851</v>
      </c>
      <c r="H64" s="3">
        <v>3</v>
      </c>
      <c r="I64" s="4">
        <v>30.291150000000002</v>
      </c>
      <c r="J64" s="4">
        <f t="shared" si="12"/>
        <v>17.488603606563334</v>
      </c>
      <c r="K64" s="4">
        <v>232.67716999999999</v>
      </c>
      <c r="L64" s="3">
        <v>3</v>
      </c>
      <c r="M64" s="4">
        <v>31.274490000000014</v>
      </c>
      <c r="N64" s="4">
        <f>M64 / SQRT(L64)</f>
        <v>18.05633522026827</v>
      </c>
      <c r="O64" s="4">
        <f t="shared" si="6"/>
        <v>0.66928125812074069</v>
      </c>
      <c r="P64" s="4">
        <f t="shared" si="3"/>
        <v>2.7566483635242216E-2</v>
      </c>
      <c r="Q64" s="4" t="s">
        <v>290</v>
      </c>
      <c r="R64" s="3" t="s">
        <v>96</v>
      </c>
      <c r="S64" s="3" t="s">
        <v>221</v>
      </c>
      <c r="T64" s="3" t="s">
        <v>97</v>
      </c>
      <c r="U64" s="3" t="s">
        <v>337</v>
      </c>
      <c r="V64" s="3" t="s">
        <v>332</v>
      </c>
      <c r="W64" s="3" t="s">
        <v>112</v>
      </c>
      <c r="X64" s="3" t="s">
        <v>98</v>
      </c>
      <c r="Y64" s="3">
        <v>25</v>
      </c>
      <c r="Z64" s="3">
        <v>4</v>
      </c>
      <c r="AA64" s="3">
        <v>7</v>
      </c>
      <c r="AB64" s="11" t="s">
        <v>397</v>
      </c>
    </row>
    <row r="65" spans="1:28">
      <c r="A65" s="3" t="s">
        <v>48</v>
      </c>
      <c r="B65" s="3" t="s">
        <v>50</v>
      </c>
      <c r="C65" s="3">
        <v>1</v>
      </c>
      <c r="D65" s="3" t="s">
        <v>34</v>
      </c>
      <c r="E65" s="3">
        <v>2.7</v>
      </c>
      <c r="F65" s="3">
        <v>2015</v>
      </c>
      <c r="G65" s="4">
        <v>14.075530000000001</v>
      </c>
      <c r="H65" s="3">
        <v>30</v>
      </c>
      <c r="I65" s="4">
        <f t="shared" ref="I65:I87" si="13" xml:space="preserve"> J65 * SQRT(H65)</f>
        <v>5.5825526228599065</v>
      </c>
      <c r="J65" s="4">
        <v>1.0192300000000003</v>
      </c>
      <c r="K65" s="4">
        <v>20.324999999999999</v>
      </c>
      <c r="L65" s="3">
        <v>30</v>
      </c>
      <c r="M65" s="4">
        <f t="shared" ref="M65:M96" si="14" xml:space="preserve"> N65 * SQRT(L65)</f>
        <v>3.3603326625499532</v>
      </c>
      <c r="N65" s="4">
        <v>0.61351000000000155</v>
      </c>
      <c r="O65" s="4">
        <f t="shared" si="6"/>
        <v>0.36741382669966083</v>
      </c>
      <c r="P65" s="4">
        <f t="shared" si="3"/>
        <v>6.1545567104913613E-3</v>
      </c>
      <c r="Q65" s="4" t="s">
        <v>299</v>
      </c>
      <c r="R65" s="3" t="s">
        <v>177</v>
      </c>
      <c r="S65" s="3" t="s">
        <v>221</v>
      </c>
      <c r="T65" s="3" t="s">
        <v>8</v>
      </c>
      <c r="U65" s="3" t="s">
        <v>337</v>
      </c>
      <c r="V65" s="3" t="s">
        <v>332</v>
      </c>
      <c r="W65" s="3" t="s">
        <v>112</v>
      </c>
      <c r="X65" s="3" t="s">
        <v>98</v>
      </c>
      <c r="Y65" s="3">
        <v>38</v>
      </c>
      <c r="Z65" s="3">
        <v>15</v>
      </c>
      <c r="AA65" s="3">
        <v>0</v>
      </c>
      <c r="AB65" s="11" t="s">
        <v>397</v>
      </c>
    </row>
    <row r="66" spans="1:28">
      <c r="A66" s="3" t="s">
        <v>48</v>
      </c>
      <c r="B66" s="3" t="s">
        <v>50</v>
      </c>
      <c r="C66" s="3">
        <v>2</v>
      </c>
      <c r="D66" s="3" t="s">
        <v>34</v>
      </c>
      <c r="E66" s="3">
        <v>2.7</v>
      </c>
      <c r="F66" s="3">
        <v>2015</v>
      </c>
      <c r="G66" s="4">
        <v>14.075530000000001</v>
      </c>
      <c r="H66" s="3">
        <v>30</v>
      </c>
      <c r="I66" s="4">
        <f t="shared" si="13"/>
        <v>5.5825526228599065</v>
      </c>
      <c r="J66" s="4">
        <v>1.0192300000000003</v>
      </c>
      <c r="K66" s="4">
        <v>17.827459999999999</v>
      </c>
      <c r="L66" s="3">
        <v>30</v>
      </c>
      <c r="M66" s="4">
        <f t="shared" si="14"/>
        <v>3.0373406703891641</v>
      </c>
      <c r="N66" s="4">
        <v>0.55454000000000292</v>
      </c>
      <c r="O66" s="4">
        <f t="shared" si="6"/>
        <v>0.23630213645900822</v>
      </c>
      <c r="P66" s="4">
        <f t="shared" ref="P66:P129" si="15">(M66^2)/(L66*(K66^2)) + (I66^2)/(H66*(G66^2))</f>
        <v>6.2110027051388624E-3</v>
      </c>
      <c r="Q66" s="4" t="s">
        <v>299</v>
      </c>
      <c r="R66" s="3" t="s">
        <v>177</v>
      </c>
      <c r="S66" s="3" t="s">
        <v>221</v>
      </c>
      <c r="T66" s="3" t="s">
        <v>8</v>
      </c>
      <c r="U66" s="3" t="s">
        <v>335</v>
      </c>
      <c r="V66" s="3" t="s">
        <v>332</v>
      </c>
      <c r="W66" s="3" t="s">
        <v>112</v>
      </c>
      <c r="X66" s="3" t="s">
        <v>98</v>
      </c>
      <c r="Y66" s="3">
        <v>38</v>
      </c>
      <c r="Z66" s="3">
        <v>15</v>
      </c>
      <c r="AA66" s="3">
        <v>0</v>
      </c>
      <c r="AB66" s="11" t="s">
        <v>397</v>
      </c>
    </row>
    <row r="67" spans="1:28">
      <c r="A67" s="3" t="s">
        <v>48</v>
      </c>
      <c r="B67" s="3" t="s">
        <v>50</v>
      </c>
      <c r="C67" s="3">
        <v>3</v>
      </c>
      <c r="D67" s="3" t="s">
        <v>34</v>
      </c>
      <c r="E67" s="3">
        <v>2.7</v>
      </c>
      <c r="F67" s="3">
        <v>2015</v>
      </c>
      <c r="G67" s="4">
        <v>9.1281800000000004</v>
      </c>
      <c r="H67" s="3">
        <v>30</v>
      </c>
      <c r="I67" s="4">
        <f t="shared" si="13"/>
        <v>4.2868601408256808</v>
      </c>
      <c r="J67" s="4">
        <v>0.78266999999999953</v>
      </c>
      <c r="K67" s="4">
        <v>10.78689</v>
      </c>
      <c r="L67" s="3">
        <v>30</v>
      </c>
      <c r="M67" s="4">
        <f t="shared" si="14"/>
        <v>2.7336285122525372</v>
      </c>
      <c r="N67" s="4">
        <v>0.4990900000000007</v>
      </c>
      <c r="O67" s="4">
        <f t="shared" ref="O67:O93" si="16">LN(K67/G67)</f>
        <v>0.16696517597178567</v>
      </c>
      <c r="P67" s="4">
        <f t="shared" si="15"/>
        <v>9.4924669117590933E-3</v>
      </c>
      <c r="Q67" s="4" t="s">
        <v>299</v>
      </c>
      <c r="R67" s="3" t="s">
        <v>177</v>
      </c>
      <c r="S67" s="3" t="s">
        <v>221</v>
      </c>
      <c r="T67" s="3" t="s">
        <v>8</v>
      </c>
      <c r="U67" s="3" t="s">
        <v>337</v>
      </c>
      <c r="V67" s="3" t="s">
        <v>332</v>
      </c>
      <c r="W67" s="3" t="s">
        <v>112</v>
      </c>
      <c r="X67" s="3" t="s">
        <v>98</v>
      </c>
      <c r="Y67" s="3">
        <v>38</v>
      </c>
      <c r="Z67" s="3">
        <v>15</v>
      </c>
      <c r="AA67" s="3">
        <v>0</v>
      </c>
      <c r="AB67" s="11" t="s">
        <v>397</v>
      </c>
    </row>
    <row r="68" spans="1:28">
      <c r="A68" s="3" t="s">
        <v>48</v>
      </c>
      <c r="B68" s="3" t="s">
        <v>50</v>
      </c>
      <c r="C68" s="3">
        <v>4</v>
      </c>
      <c r="D68" s="3" t="s">
        <v>34</v>
      </c>
      <c r="E68" s="3">
        <v>2.7</v>
      </c>
      <c r="F68" s="3">
        <v>2015</v>
      </c>
      <c r="G68" s="4">
        <v>9.1281800000000004</v>
      </c>
      <c r="H68" s="3">
        <v>30</v>
      </c>
      <c r="I68" s="4">
        <f t="shared" si="13"/>
        <v>4.2868601408256808</v>
      </c>
      <c r="J68" s="4">
        <v>0.78266999999999953</v>
      </c>
      <c r="K68" s="4">
        <v>9.0635999999999992</v>
      </c>
      <c r="L68" s="3">
        <v>30</v>
      </c>
      <c r="M68" s="4">
        <f t="shared" si="14"/>
        <v>3.0373406703891543</v>
      </c>
      <c r="N68" s="4">
        <v>0.55454000000000114</v>
      </c>
      <c r="O68" s="4">
        <f t="shared" si="16"/>
        <v>-7.0999397843408245E-3</v>
      </c>
      <c r="P68" s="4">
        <f t="shared" si="15"/>
        <v>1.10951037090622E-2</v>
      </c>
      <c r="Q68" s="4" t="s">
        <v>299</v>
      </c>
      <c r="R68" s="3" t="s">
        <v>177</v>
      </c>
      <c r="S68" s="3" t="s">
        <v>221</v>
      </c>
      <c r="T68" s="3" t="s">
        <v>8</v>
      </c>
      <c r="U68" s="3" t="s">
        <v>335</v>
      </c>
      <c r="V68" s="3" t="s">
        <v>332</v>
      </c>
      <c r="W68" s="3" t="s">
        <v>112</v>
      </c>
      <c r="X68" s="3" t="s">
        <v>98</v>
      </c>
      <c r="Y68" s="3">
        <v>38</v>
      </c>
      <c r="Z68" s="3">
        <v>15</v>
      </c>
      <c r="AA68" s="3">
        <v>0</v>
      </c>
      <c r="AB68" s="11" t="s">
        <v>397</v>
      </c>
    </row>
    <row r="69" spans="1:28">
      <c r="A69" s="3" t="s">
        <v>110</v>
      </c>
      <c r="B69" s="3" t="s">
        <v>51</v>
      </c>
      <c r="C69" s="3">
        <v>1</v>
      </c>
      <c r="D69" s="3" t="s">
        <v>52</v>
      </c>
      <c r="E69" s="3">
        <v>1.2</v>
      </c>
      <c r="F69" s="3">
        <v>2015</v>
      </c>
      <c r="G69" s="4">
        <v>24.901530000000001</v>
      </c>
      <c r="H69" s="3">
        <v>2</v>
      </c>
      <c r="I69" s="4">
        <f t="shared" si="13"/>
        <v>1.0160983024294439</v>
      </c>
      <c r="J69" s="4">
        <v>0.71848999999999918</v>
      </c>
      <c r="K69" s="4">
        <v>24.255659999999999</v>
      </c>
      <c r="L69" s="3">
        <v>2</v>
      </c>
      <c r="M69" s="4">
        <f t="shared" si="14"/>
        <v>3.0418885198507883</v>
      </c>
      <c r="N69" s="4">
        <v>2.1509400000000021</v>
      </c>
      <c r="O69" s="4">
        <f t="shared" si="16"/>
        <v>-2.6279255154755578E-2</v>
      </c>
      <c r="P69" s="4">
        <f t="shared" si="15"/>
        <v>8.6962725678517757E-3</v>
      </c>
      <c r="Q69" s="4" t="s">
        <v>301</v>
      </c>
      <c r="R69" s="3" t="s">
        <v>129</v>
      </c>
      <c r="S69" s="3" t="s">
        <v>222</v>
      </c>
      <c r="T69" s="3" t="s">
        <v>8</v>
      </c>
      <c r="U69" s="3" t="s">
        <v>165</v>
      </c>
      <c r="V69" s="3" t="s">
        <v>332</v>
      </c>
      <c r="W69" s="3" t="s">
        <v>360</v>
      </c>
      <c r="X69" s="3" t="s">
        <v>147</v>
      </c>
      <c r="Y69" s="3">
        <v>50</v>
      </c>
      <c r="Z69" s="3">
        <v>0</v>
      </c>
      <c r="AA69" s="3">
        <v>0</v>
      </c>
      <c r="AB69" s="11" t="s">
        <v>397</v>
      </c>
    </row>
    <row r="70" spans="1:28">
      <c r="A70" s="3" t="s">
        <v>110</v>
      </c>
      <c r="B70" s="3" t="s">
        <v>51</v>
      </c>
      <c r="C70" s="3">
        <v>2</v>
      </c>
      <c r="D70" s="3" t="s">
        <v>52</v>
      </c>
      <c r="E70" s="3">
        <v>1.2</v>
      </c>
      <c r="F70" s="3">
        <v>2015</v>
      </c>
      <c r="G70" s="4">
        <v>24.901530000000001</v>
      </c>
      <c r="H70" s="3">
        <v>2</v>
      </c>
      <c r="I70" s="4">
        <f t="shared" si="13"/>
        <v>1.0160983024294439</v>
      </c>
      <c r="J70" s="4">
        <v>0.71848999999999918</v>
      </c>
      <c r="K70" s="4">
        <v>22.097580000000001</v>
      </c>
      <c r="L70" s="3">
        <v>2</v>
      </c>
      <c r="M70" s="4">
        <f t="shared" si="14"/>
        <v>0.43652530029770231</v>
      </c>
      <c r="N70" s="4">
        <v>0.30866999999999933</v>
      </c>
      <c r="O70" s="4">
        <f t="shared" si="16"/>
        <v>-0.11946114710062646</v>
      </c>
      <c r="P70" s="4">
        <f t="shared" si="15"/>
        <v>1.0276288060538439E-3</v>
      </c>
      <c r="Q70" s="4" t="s">
        <v>301</v>
      </c>
      <c r="R70" s="3" t="s">
        <v>129</v>
      </c>
      <c r="S70" s="3" t="s">
        <v>222</v>
      </c>
      <c r="T70" s="3" t="s">
        <v>8</v>
      </c>
      <c r="U70" s="3" t="s">
        <v>165</v>
      </c>
      <c r="V70" s="3" t="s">
        <v>332</v>
      </c>
      <c r="W70" s="3" t="s">
        <v>340</v>
      </c>
      <c r="X70" s="3" t="s">
        <v>166</v>
      </c>
      <c r="Y70" s="3">
        <v>50</v>
      </c>
      <c r="Z70" s="3">
        <v>0</v>
      </c>
      <c r="AA70" s="3">
        <v>0</v>
      </c>
      <c r="AB70" s="11" t="s">
        <v>397</v>
      </c>
    </row>
    <row r="71" spans="1:28">
      <c r="A71" s="3" t="s">
        <v>110</v>
      </c>
      <c r="B71" s="3" t="s">
        <v>51</v>
      </c>
      <c r="C71" s="3">
        <v>3</v>
      </c>
      <c r="D71" s="3" t="s">
        <v>52</v>
      </c>
      <c r="E71" s="3">
        <v>1.2</v>
      </c>
      <c r="F71" s="3">
        <v>2015</v>
      </c>
      <c r="G71" s="4">
        <v>24.901530000000001</v>
      </c>
      <c r="H71" s="3">
        <v>2</v>
      </c>
      <c r="I71" s="4">
        <f t="shared" si="13"/>
        <v>1.0160983024294439</v>
      </c>
      <c r="J71" s="4">
        <v>0.71848999999999918</v>
      </c>
      <c r="K71" s="4">
        <v>20.51145</v>
      </c>
      <c r="L71" s="3">
        <v>2</v>
      </c>
      <c r="M71" s="4">
        <f t="shared" si="14"/>
        <v>1.0142739669339813</v>
      </c>
      <c r="N71" s="4">
        <v>0.71719999999999828</v>
      </c>
      <c r="O71" s="4">
        <f t="shared" si="16"/>
        <v>-0.19394598055985329</v>
      </c>
      <c r="P71" s="4">
        <f t="shared" si="15"/>
        <v>2.0551195702636707E-3</v>
      </c>
      <c r="Q71" s="4" t="s">
        <v>301</v>
      </c>
      <c r="R71" s="3" t="s">
        <v>129</v>
      </c>
      <c r="S71" s="3" t="s">
        <v>222</v>
      </c>
      <c r="T71" s="3" t="s">
        <v>8</v>
      </c>
      <c r="U71" s="3" t="s">
        <v>165</v>
      </c>
      <c r="V71" s="3" t="s">
        <v>332</v>
      </c>
      <c r="W71" s="3" t="s">
        <v>112</v>
      </c>
      <c r="X71" s="3" t="s">
        <v>98</v>
      </c>
      <c r="Y71" s="3" t="s">
        <v>363</v>
      </c>
      <c r="Z71" s="3">
        <v>0</v>
      </c>
      <c r="AA71" s="3">
        <v>0</v>
      </c>
      <c r="AB71" s="11" t="s">
        <v>397</v>
      </c>
    </row>
    <row r="72" spans="1:28">
      <c r="A72" s="3" t="s">
        <v>110</v>
      </c>
      <c r="B72" s="3" t="s">
        <v>51</v>
      </c>
      <c r="C72" s="3">
        <v>4</v>
      </c>
      <c r="D72" s="3" t="s">
        <v>52</v>
      </c>
      <c r="E72" s="3">
        <v>1.2</v>
      </c>
      <c r="F72" s="3">
        <v>2015</v>
      </c>
      <c r="G72" s="4">
        <v>21.489979999999999</v>
      </c>
      <c r="H72" s="3">
        <v>2</v>
      </c>
      <c r="I72" s="4">
        <f t="shared" si="13"/>
        <v>0.50713698346699065</v>
      </c>
      <c r="J72" s="4">
        <v>0.35859999999999914</v>
      </c>
      <c r="K72" s="4">
        <v>20.12886</v>
      </c>
      <c r="L72" s="3">
        <v>2</v>
      </c>
      <c r="M72" s="4">
        <f t="shared" si="14"/>
        <v>0.72539256254803275</v>
      </c>
      <c r="N72" s="4">
        <v>0.51293000000000077</v>
      </c>
      <c r="O72" s="4">
        <f t="shared" si="16"/>
        <v>-6.5432173833203808E-2</v>
      </c>
      <c r="P72" s="4">
        <f t="shared" si="15"/>
        <v>9.277993514648224E-4</v>
      </c>
      <c r="Q72" s="4" t="s">
        <v>301</v>
      </c>
      <c r="R72" s="3" t="s">
        <v>129</v>
      </c>
      <c r="S72" s="3" t="s">
        <v>222</v>
      </c>
      <c r="T72" s="3" t="s">
        <v>8</v>
      </c>
      <c r="U72" s="3" t="s">
        <v>165</v>
      </c>
      <c r="V72" s="3" t="s">
        <v>332</v>
      </c>
      <c r="W72" s="3" t="s">
        <v>360</v>
      </c>
      <c r="X72" s="3" t="s">
        <v>147</v>
      </c>
      <c r="Y72" s="3">
        <v>50</v>
      </c>
      <c r="Z72" s="3">
        <v>0</v>
      </c>
      <c r="AA72" s="3">
        <v>1</v>
      </c>
      <c r="AB72" s="11" t="s">
        <v>397</v>
      </c>
    </row>
    <row r="73" spans="1:28">
      <c r="A73" s="3" t="s">
        <v>110</v>
      </c>
      <c r="B73" s="3" t="s">
        <v>51</v>
      </c>
      <c r="C73" s="3">
        <v>5</v>
      </c>
      <c r="D73" s="3" t="s">
        <v>52</v>
      </c>
      <c r="E73" s="3">
        <v>1.2</v>
      </c>
      <c r="F73" s="3">
        <v>2015</v>
      </c>
      <c r="G73" s="4">
        <v>21.489979999999999</v>
      </c>
      <c r="H73" s="3">
        <v>2</v>
      </c>
      <c r="I73" s="4">
        <f t="shared" si="13"/>
        <v>0.50713698346699065</v>
      </c>
      <c r="J73" s="4">
        <v>0.35859999999999914</v>
      </c>
      <c r="K73" s="4">
        <v>17.58625</v>
      </c>
      <c r="L73" s="3">
        <v>2</v>
      </c>
      <c r="M73" s="4">
        <f t="shared" si="14"/>
        <v>0.65478087937874441</v>
      </c>
      <c r="N73" s="4">
        <v>0.46300000000000097</v>
      </c>
      <c r="O73" s="4">
        <f t="shared" si="16"/>
        <v>-0.20046943327927422</v>
      </c>
      <c r="P73" s="4">
        <f t="shared" si="15"/>
        <v>9.7158212734083094E-4</v>
      </c>
      <c r="Q73" s="4" t="s">
        <v>301</v>
      </c>
      <c r="R73" s="3" t="s">
        <v>129</v>
      </c>
      <c r="S73" s="3" t="s">
        <v>222</v>
      </c>
      <c r="T73" s="3" t="s">
        <v>8</v>
      </c>
      <c r="U73" s="3" t="s">
        <v>165</v>
      </c>
      <c r="V73" s="3" t="s">
        <v>332</v>
      </c>
      <c r="W73" s="3" t="s">
        <v>339</v>
      </c>
      <c r="X73" s="3" t="s">
        <v>166</v>
      </c>
      <c r="Y73" s="3">
        <v>50</v>
      </c>
      <c r="Z73" s="3">
        <v>0</v>
      </c>
      <c r="AA73" s="3">
        <v>1</v>
      </c>
      <c r="AB73" s="11" t="s">
        <v>397</v>
      </c>
    </row>
    <row r="74" spans="1:28">
      <c r="A74" s="3" t="s">
        <v>110</v>
      </c>
      <c r="B74" s="3" t="s">
        <v>51</v>
      </c>
      <c r="C74" s="3">
        <v>6</v>
      </c>
      <c r="D74" s="3" t="s">
        <v>52</v>
      </c>
      <c r="E74" s="3">
        <v>1.2</v>
      </c>
      <c r="F74" s="3">
        <v>2015</v>
      </c>
      <c r="G74" s="4">
        <v>21.489979999999999</v>
      </c>
      <c r="H74" s="3">
        <v>2</v>
      </c>
      <c r="I74" s="4">
        <f t="shared" si="13"/>
        <v>0.50713698346699065</v>
      </c>
      <c r="J74" s="4">
        <v>0.35859999999999914</v>
      </c>
      <c r="K74" s="4">
        <v>17.13946</v>
      </c>
      <c r="L74" s="3">
        <v>2</v>
      </c>
      <c r="M74" s="4">
        <f t="shared" si="14"/>
        <v>0.29162497869695408</v>
      </c>
      <c r="N74" s="4">
        <v>0.20620999999999867</v>
      </c>
      <c r="O74" s="4">
        <f t="shared" si="16"/>
        <v>-0.22620337256610246</v>
      </c>
      <c r="P74" s="4">
        <f t="shared" si="15"/>
        <v>4.2320305053374216E-4</v>
      </c>
      <c r="Q74" s="4" t="s">
        <v>301</v>
      </c>
      <c r="R74" s="3" t="s">
        <v>129</v>
      </c>
      <c r="S74" s="3" t="s">
        <v>222</v>
      </c>
      <c r="T74" s="3" t="s">
        <v>8</v>
      </c>
      <c r="U74" s="3" t="s">
        <v>165</v>
      </c>
      <c r="V74" s="3" t="s">
        <v>332</v>
      </c>
      <c r="W74" s="3" t="s">
        <v>112</v>
      </c>
      <c r="X74" s="3" t="s">
        <v>98</v>
      </c>
      <c r="Y74" s="3" t="s">
        <v>363</v>
      </c>
      <c r="Z74" s="3">
        <v>0</v>
      </c>
      <c r="AA74" s="3">
        <v>1</v>
      </c>
      <c r="AB74" s="11" t="s">
        <v>397</v>
      </c>
    </row>
    <row r="75" spans="1:28">
      <c r="A75" s="3" t="s">
        <v>110</v>
      </c>
      <c r="B75" s="3" t="s">
        <v>51</v>
      </c>
      <c r="C75" s="3">
        <v>7</v>
      </c>
      <c r="D75" s="3" t="s">
        <v>52</v>
      </c>
      <c r="E75" s="3">
        <v>1.2</v>
      </c>
      <c r="F75" s="3">
        <v>2015</v>
      </c>
      <c r="G75" s="4">
        <v>27.417549999999999</v>
      </c>
      <c r="H75" s="3">
        <v>2</v>
      </c>
      <c r="I75" s="4">
        <f t="shared" si="13"/>
        <v>1.0867241277343607</v>
      </c>
      <c r="J75" s="4">
        <v>0.76843000000000217</v>
      </c>
      <c r="K75" s="4">
        <v>28.137339999999998</v>
      </c>
      <c r="L75" s="3">
        <v>2</v>
      </c>
      <c r="M75" s="4">
        <f t="shared" si="14"/>
        <v>0.72448746586811308</v>
      </c>
      <c r="N75" s="4">
        <v>0.51229000000000013</v>
      </c>
      <c r="O75" s="4">
        <f t="shared" si="16"/>
        <v>2.5914200551725646E-2</v>
      </c>
      <c r="P75" s="4">
        <f t="shared" si="15"/>
        <v>1.1169956800492575E-3</v>
      </c>
      <c r="Q75" s="4" t="s">
        <v>301</v>
      </c>
      <c r="R75" s="3" t="s">
        <v>129</v>
      </c>
      <c r="S75" s="3" t="s">
        <v>222</v>
      </c>
      <c r="T75" s="3" t="s">
        <v>8</v>
      </c>
      <c r="U75" s="3" t="s">
        <v>165</v>
      </c>
      <c r="V75" s="3" t="s">
        <v>332</v>
      </c>
      <c r="W75" s="3" t="s">
        <v>360</v>
      </c>
      <c r="X75" s="3" t="s">
        <v>147</v>
      </c>
      <c r="Y75" s="3">
        <v>50</v>
      </c>
      <c r="Z75" s="3">
        <v>0</v>
      </c>
      <c r="AA75" s="3">
        <v>5</v>
      </c>
      <c r="AB75" s="11" t="s">
        <v>397</v>
      </c>
    </row>
    <row r="76" spans="1:28">
      <c r="A76" s="3" t="s">
        <v>110</v>
      </c>
      <c r="B76" s="3" t="s">
        <v>51</v>
      </c>
      <c r="C76" s="3">
        <v>8</v>
      </c>
      <c r="D76" s="3" t="s">
        <v>52</v>
      </c>
      <c r="E76" s="3">
        <v>1.2</v>
      </c>
      <c r="F76" s="3">
        <v>2015</v>
      </c>
      <c r="G76" s="4">
        <v>27.417549999999999</v>
      </c>
      <c r="H76" s="3">
        <v>2</v>
      </c>
      <c r="I76" s="4">
        <f t="shared" si="13"/>
        <v>1.0867241277343607</v>
      </c>
      <c r="J76" s="4">
        <v>0.76843000000000217</v>
      </c>
      <c r="K76" s="4">
        <v>22.407550000000001</v>
      </c>
      <c r="L76" s="3">
        <v>2</v>
      </c>
      <c r="M76" s="4">
        <f t="shared" si="14"/>
        <v>2.5320079620727869</v>
      </c>
      <c r="N76" s="4">
        <v>1.7903999999999982</v>
      </c>
      <c r="O76" s="4">
        <f t="shared" si="16"/>
        <v>-0.20178536366071223</v>
      </c>
      <c r="P76" s="4">
        <f t="shared" si="15"/>
        <v>7.1697814287764935E-3</v>
      </c>
      <c r="Q76" s="4" t="s">
        <v>301</v>
      </c>
      <c r="R76" s="3" t="s">
        <v>129</v>
      </c>
      <c r="S76" s="3" t="s">
        <v>222</v>
      </c>
      <c r="T76" s="3" t="s">
        <v>8</v>
      </c>
      <c r="U76" s="3" t="s">
        <v>165</v>
      </c>
      <c r="V76" s="3" t="s">
        <v>332</v>
      </c>
      <c r="W76" s="3" t="s">
        <v>339</v>
      </c>
      <c r="X76" s="3" t="s">
        <v>166</v>
      </c>
      <c r="Y76" s="3">
        <v>50</v>
      </c>
      <c r="Z76" s="3">
        <v>0</v>
      </c>
      <c r="AA76" s="3">
        <v>5</v>
      </c>
      <c r="AB76" s="11" t="s">
        <v>397</v>
      </c>
    </row>
    <row r="77" spans="1:28">
      <c r="A77" s="3" t="s">
        <v>110</v>
      </c>
      <c r="B77" s="3" t="s">
        <v>51</v>
      </c>
      <c r="C77" s="3">
        <v>9</v>
      </c>
      <c r="D77" s="3" t="s">
        <v>52</v>
      </c>
      <c r="E77" s="3">
        <v>1.2</v>
      </c>
      <c r="F77" s="3">
        <v>2015</v>
      </c>
      <c r="G77" s="4">
        <v>27.417549999999999</v>
      </c>
      <c r="H77" s="3">
        <v>2</v>
      </c>
      <c r="I77" s="4">
        <f t="shared" si="13"/>
        <v>1.0867241277343607</v>
      </c>
      <c r="J77" s="4">
        <v>0.76843000000000217</v>
      </c>
      <c r="K77" s="4">
        <v>17.655629999999999</v>
      </c>
      <c r="L77" s="3">
        <v>2</v>
      </c>
      <c r="M77" s="4">
        <f t="shared" si="14"/>
        <v>0.21825557908104209</v>
      </c>
      <c r="N77" s="4">
        <v>0.15433000000000163</v>
      </c>
      <c r="O77" s="4">
        <f t="shared" si="16"/>
        <v>-0.44012860661742165</v>
      </c>
      <c r="P77" s="4">
        <f t="shared" si="15"/>
        <v>8.6191650504686068E-4</v>
      </c>
      <c r="Q77" s="4" t="s">
        <v>301</v>
      </c>
      <c r="R77" s="3" t="s">
        <v>129</v>
      </c>
      <c r="S77" s="3" t="s">
        <v>222</v>
      </c>
      <c r="T77" s="3" t="s">
        <v>8</v>
      </c>
      <c r="U77" s="3" t="s">
        <v>165</v>
      </c>
      <c r="V77" s="3" t="s">
        <v>332</v>
      </c>
      <c r="W77" s="3" t="s">
        <v>112</v>
      </c>
      <c r="X77" s="3" t="s">
        <v>98</v>
      </c>
      <c r="Y77" s="3" t="s">
        <v>363</v>
      </c>
      <c r="Z77" s="3">
        <v>0</v>
      </c>
      <c r="AA77" s="3">
        <v>5</v>
      </c>
      <c r="AB77" s="11" t="s">
        <v>397</v>
      </c>
    </row>
    <row r="78" spans="1:28">
      <c r="A78" s="3" t="s">
        <v>110</v>
      </c>
      <c r="B78" s="3" t="s">
        <v>51</v>
      </c>
      <c r="C78" s="3">
        <v>10</v>
      </c>
      <c r="D78" s="3" t="s">
        <v>52</v>
      </c>
      <c r="E78" s="3">
        <v>1.2</v>
      </c>
      <c r="F78" s="3">
        <v>2015</v>
      </c>
      <c r="G78" s="4">
        <v>26.204930000000001</v>
      </c>
      <c r="H78" s="3">
        <v>2</v>
      </c>
      <c r="I78" s="4">
        <f t="shared" si="13"/>
        <v>0.72539256254803275</v>
      </c>
      <c r="J78" s="4">
        <v>0.51293000000000077</v>
      </c>
      <c r="K78" s="4">
        <v>22.597549999999998</v>
      </c>
      <c r="L78" s="3">
        <v>2</v>
      </c>
      <c r="M78" s="4">
        <f t="shared" si="14"/>
        <v>2.3907704535985923</v>
      </c>
      <c r="N78" s="4">
        <v>1.6905300000000025</v>
      </c>
      <c r="O78" s="4">
        <f t="shared" si="16"/>
        <v>-0.14810606768249451</v>
      </c>
      <c r="P78" s="4">
        <f t="shared" si="15"/>
        <v>5.9797178898488906E-3</v>
      </c>
      <c r="Q78" s="4" t="s">
        <v>301</v>
      </c>
      <c r="R78" s="3" t="s">
        <v>129</v>
      </c>
      <c r="S78" s="3" t="s">
        <v>222</v>
      </c>
      <c r="T78" s="3" t="s">
        <v>8</v>
      </c>
      <c r="U78" s="3" t="s">
        <v>165</v>
      </c>
      <c r="V78" s="3" t="s">
        <v>332</v>
      </c>
      <c r="W78" s="3" t="s">
        <v>360</v>
      </c>
      <c r="X78" s="3" t="s">
        <v>147</v>
      </c>
      <c r="Y78" s="3">
        <v>50</v>
      </c>
      <c r="Z78" s="3">
        <v>0</v>
      </c>
      <c r="AA78" s="3">
        <v>10</v>
      </c>
      <c r="AB78" s="11" t="s">
        <v>397</v>
      </c>
    </row>
    <row r="79" spans="1:28">
      <c r="A79" s="3" t="s">
        <v>110</v>
      </c>
      <c r="B79" s="3" t="s">
        <v>51</v>
      </c>
      <c r="C79" s="3">
        <v>11</v>
      </c>
      <c r="D79" s="3" t="s">
        <v>52</v>
      </c>
      <c r="E79" s="3">
        <v>1.2</v>
      </c>
      <c r="F79" s="3">
        <v>2015</v>
      </c>
      <c r="G79" s="4">
        <v>26.204930000000001</v>
      </c>
      <c r="H79" s="3">
        <v>2</v>
      </c>
      <c r="I79" s="4">
        <f t="shared" si="13"/>
        <v>0.72539256254803275</v>
      </c>
      <c r="J79" s="4">
        <v>0.51293000000000077</v>
      </c>
      <c r="K79" s="4">
        <v>20.676159999999999</v>
      </c>
      <c r="L79" s="3">
        <v>2</v>
      </c>
      <c r="M79" s="4">
        <f t="shared" si="14"/>
        <v>1.0867099855987323</v>
      </c>
      <c r="N79" s="4">
        <v>0.76841999999999899</v>
      </c>
      <c r="O79" s="4">
        <f t="shared" si="16"/>
        <v>-0.23696621526006098</v>
      </c>
      <c r="P79" s="4">
        <f t="shared" si="15"/>
        <v>1.7643366805151165E-3</v>
      </c>
      <c r="Q79" s="4" t="s">
        <v>301</v>
      </c>
      <c r="R79" s="3" t="s">
        <v>129</v>
      </c>
      <c r="S79" s="3" t="s">
        <v>222</v>
      </c>
      <c r="T79" s="3" t="s">
        <v>8</v>
      </c>
      <c r="U79" s="3" t="s">
        <v>165</v>
      </c>
      <c r="V79" s="3" t="s">
        <v>332</v>
      </c>
      <c r="W79" s="3" t="s">
        <v>339</v>
      </c>
      <c r="X79" s="3" t="s">
        <v>166</v>
      </c>
      <c r="Y79" s="3">
        <v>50</v>
      </c>
      <c r="Z79" s="3">
        <v>0</v>
      </c>
      <c r="AA79" s="3">
        <v>10</v>
      </c>
      <c r="AB79" s="11" t="s">
        <v>397</v>
      </c>
    </row>
    <row r="80" spans="1:28">
      <c r="A80" s="3" t="s">
        <v>110</v>
      </c>
      <c r="B80" s="3" t="s">
        <v>51</v>
      </c>
      <c r="C80" s="3">
        <v>12</v>
      </c>
      <c r="D80" s="3" t="s">
        <v>52</v>
      </c>
      <c r="E80" s="3">
        <v>1.2</v>
      </c>
      <c r="F80" s="3">
        <v>2015</v>
      </c>
      <c r="G80" s="4">
        <v>26.204930000000001</v>
      </c>
      <c r="H80" s="3">
        <v>2</v>
      </c>
      <c r="I80" s="4">
        <f t="shared" si="13"/>
        <v>0.72539256254803275</v>
      </c>
      <c r="J80" s="4">
        <v>0.51293000000000077</v>
      </c>
      <c r="K80" s="4">
        <v>20.989370000000001</v>
      </c>
      <c r="L80" s="3">
        <v>2</v>
      </c>
      <c r="M80" s="4">
        <f t="shared" si="14"/>
        <v>0.28978650106586828</v>
      </c>
      <c r="N80" s="4">
        <v>0.20490999999999815</v>
      </c>
      <c r="O80" s="4">
        <f t="shared" si="16"/>
        <v>-0.22193144191503289</v>
      </c>
      <c r="P80" s="4">
        <f t="shared" si="15"/>
        <v>4.7844115119709176E-4</v>
      </c>
      <c r="Q80" s="4" t="s">
        <v>301</v>
      </c>
      <c r="R80" s="3" t="s">
        <v>129</v>
      </c>
      <c r="S80" s="3" t="s">
        <v>222</v>
      </c>
      <c r="T80" s="3" t="s">
        <v>8</v>
      </c>
      <c r="U80" s="3" t="s">
        <v>165</v>
      </c>
      <c r="V80" s="3" t="s">
        <v>332</v>
      </c>
      <c r="W80" s="3" t="s">
        <v>112</v>
      </c>
      <c r="X80" s="3" t="s">
        <v>98</v>
      </c>
      <c r="Y80" s="3" t="s">
        <v>363</v>
      </c>
      <c r="Z80" s="3">
        <v>0</v>
      </c>
      <c r="AA80" s="3">
        <v>10</v>
      </c>
      <c r="AB80" s="11" t="s">
        <v>397</v>
      </c>
    </row>
    <row r="81" spans="1:28">
      <c r="A81" s="3" t="s">
        <v>53</v>
      </c>
      <c r="B81" s="3" t="s">
        <v>395</v>
      </c>
      <c r="C81" s="3">
        <v>1</v>
      </c>
      <c r="D81" s="3" t="s">
        <v>54</v>
      </c>
      <c r="E81" s="3">
        <v>2.2999999999999998</v>
      </c>
      <c r="F81" s="3">
        <v>2001</v>
      </c>
      <c r="G81" s="4">
        <v>3.5929999999999997E-2</v>
      </c>
      <c r="H81" s="3">
        <v>15</v>
      </c>
      <c r="I81" s="4">
        <f t="shared" si="13"/>
        <v>2.285060174262377E-2</v>
      </c>
      <c r="J81" s="4">
        <v>5.9000000000000025E-3</v>
      </c>
      <c r="K81" s="4">
        <v>3.6769999999999997E-2</v>
      </c>
      <c r="L81" s="3">
        <v>15</v>
      </c>
      <c r="M81" s="4">
        <f t="shared" si="14"/>
        <v>2.5019472416499915E-2</v>
      </c>
      <c r="N81" s="4">
        <v>6.4600000000000005E-3</v>
      </c>
      <c r="O81" s="4">
        <f t="shared" si="16"/>
        <v>2.3109694187753341E-2</v>
      </c>
      <c r="P81" s="4">
        <f t="shared" si="15"/>
        <v>5.7830144174003284E-2</v>
      </c>
      <c r="Q81" s="4" t="s">
        <v>295</v>
      </c>
      <c r="R81" s="3" t="s">
        <v>361</v>
      </c>
      <c r="S81" s="3" t="s">
        <v>221</v>
      </c>
      <c r="T81" s="3" t="s">
        <v>97</v>
      </c>
      <c r="U81" s="3" t="s">
        <v>335</v>
      </c>
      <c r="V81" s="3" t="s">
        <v>332</v>
      </c>
      <c r="W81" s="3" t="s">
        <v>360</v>
      </c>
      <c r="X81" s="3" t="s">
        <v>148</v>
      </c>
      <c r="Y81" s="3">
        <v>9</v>
      </c>
      <c r="Z81" s="3">
        <v>0</v>
      </c>
      <c r="AA81" s="3">
        <v>40</v>
      </c>
      <c r="AB81" s="11" t="s">
        <v>397</v>
      </c>
    </row>
    <row r="82" spans="1:28">
      <c r="A82" s="3" t="s">
        <v>53</v>
      </c>
      <c r="B82" s="3" t="s">
        <v>395</v>
      </c>
      <c r="C82" s="3">
        <v>2</v>
      </c>
      <c r="D82" s="3" t="s">
        <v>54</v>
      </c>
      <c r="E82" s="3">
        <v>2.2999999999999998</v>
      </c>
      <c r="F82" s="3">
        <v>2001</v>
      </c>
      <c r="G82" s="4">
        <v>3.5929999999999997E-2</v>
      </c>
      <c r="H82" s="3">
        <v>15</v>
      </c>
      <c r="I82" s="4">
        <f t="shared" si="13"/>
        <v>2.285060174262377E-2</v>
      </c>
      <c r="J82" s="4">
        <v>5.9000000000000025E-3</v>
      </c>
      <c r="K82" s="4">
        <v>7.2639999999999996E-2</v>
      </c>
      <c r="L82" s="3">
        <v>15</v>
      </c>
      <c r="M82" s="4">
        <f t="shared" si="14"/>
        <v>4.2486627307895396E-2</v>
      </c>
      <c r="N82" s="4">
        <v>1.0970000000000008E-2</v>
      </c>
      <c r="O82" s="4">
        <f t="shared" si="16"/>
        <v>0.70394313316761048</v>
      </c>
      <c r="P82" s="4">
        <f t="shared" si="15"/>
        <v>4.9770981760870914E-2</v>
      </c>
      <c r="Q82" s="4" t="s">
        <v>295</v>
      </c>
      <c r="R82" s="3" t="s">
        <v>130</v>
      </c>
      <c r="S82" s="3" t="s">
        <v>221</v>
      </c>
      <c r="T82" s="3" t="s">
        <v>97</v>
      </c>
      <c r="U82" s="3" t="s">
        <v>335</v>
      </c>
      <c r="V82" s="3" t="s">
        <v>332</v>
      </c>
      <c r="W82" s="3" t="s">
        <v>360</v>
      </c>
      <c r="X82" s="3" t="s">
        <v>148</v>
      </c>
      <c r="Y82" s="3">
        <v>9</v>
      </c>
      <c r="Z82" s="3">
        <v>0</v>
      </c>
      <c r="AA82" s="3">
        <v>40</v>
      </c>
      <c r="AB82" s="11" t="s">
        <v>397</v>
      </c>
    </row>
    <row r="83" spans="1:28">
      <c r="A83" s="3" t="s">
        <v>53</v>
      </c>
      <c r="B83" s="3" t="s">
        <v>395</v>
      </c>
      <c r="C83" s="3">
        <v>3</v>
      </c>
      <c r="D83" s="3" t="s">
        <v>54</v>
      </c>
      <c r="E83" s="3">
        <v>2.2999999999999998</v>
      </c>
      <c r="F83" s="3">
        <v>2001</v>
      </c>
      <c r="G83" s="4">
        <v>3.4569999999999997E-2</v>
      </c>
      <c r="H83" s="3">
        <v>15</v>
      </c>
      <c r="I83" s="4">
        <f t="shared" si="13"/>
        <v>2.9744512098872987E-2</v>
      </c>
      <c r="J83" s="4">
        <v>7.6800000000000063E-3</v>
      </c>
      <c r="K83" s="4">
        <v>3.4479999999999997E-2</v>
      </c>
      <c r="L83" s="3">
        <v>15</v>
      </c>
      <c r="M83" s="4">
        <f t="shared" si="14"/>
        <v>2.4244875747258438E-2</v>
      </c>
      <c r="N83" s="4">
        <v>6.2600000000000017E-3</v>
      </c>
      <c r="O83" s="4">
        <f t="shared" si="16"/>
        <v>-2.6068081380407823E-3</v>
      </c>
      <c r="P83" s="4">
        <f t="shared" si="15"/>
        <v>8.2316195803844777E-2</v>
      </c>
      <c r="Q83" s="4" t="s">
        <v>295</v>
      </c>
      <c r="R83" s="3" t="s">
        <v>130</v>
      </c>
      <c r="S83" s="3" t="s">
        <v>221</v>
      </c>
      <c r="T83" s="3" t="s">
        <v>97</v>
      </c>
      <c r="U83" s="3" t="s">
        <v>335</v>
      </c>
      <c r="V83" s="3" t="s">
        <v>332</v>
      </c>
      <c r="W83" s="3" t="s">
        <v>360</v>
      </c>
      <c r="X83" s="3" t="s">
        <v>148</v>
      </c>
      <c r="Y83" s="3">
        <v>9</v>
      </c>
      <c r="Z83" s="3">
        <v>0</v>
      </c>
      <c r="AA83" s="3">
        <v>70</v>
      </c>
      <c r="AB83" s="11" t="s">
        <v>397</v>
      </c>
    </row>
    <row r="84" spans="1:28">
      <c r="A84" s="3" t="s">
        <v>53</v>
      </c>
      <c r="B84" s="3" t="s">
        <v>395</v>
      </c>
      <c r="C84" s="3">
        <v>4</v>
      </c>
      <c r="D84" s="3" t="s">
        <v>54</v>
      </c>
      <c r="E84" s="3">
        <v>2.2999999999999998</v>
      </c>
      <c r="F84" s="3">
        <v>2001</v>
      </c>
      <c r="G84" s="4">
        <v>3.4569999999999997E-2</v>
      </c>
      <c r="H84" s="3">
        <v>15</v>
      </c>
      <c r="I84" s="4">
        <f t="shared" si="13"/>
        <v>3.0983866769659339E-2</v>
      </c>
      <c r="J84" s="4">
        <v>8.0000000000000002E-3</v>
      </c>
      <c r="K84" s="4">
        <v>6.837E-2</v>
      </c>
      <c r="L84" s="3">
        <v>15</v>
      </c>
      <c r="M84" s="4">
        <f t="shared" si="14"/>
        <v>4.144092180441937E-2</v>
      </c>
      <c r="N84" s="4">
        <v>1.0700000000000001E-2</v>
      </c>
      <c r="O84" s="4">
        <f t="shared" si="16"/>
        <v>0.68194787799216949</v>
      </c>
      <c r="P84" s="4">
        <f t="shared" si="15"/>
        <v>7.804536556545888E-2</v>
      </c>
      <c r="Q84" s="4" t="s">
        <v>295</v>
      </c>
      <c r="R84" s="3" t="s">
        <v>130</v>
      </c>
      <c r="S84" s="3" t="s">
        <v>221</v>
      </c>
      <c r="T84" s="3" t="s">
        <v>97</v>
      </c>
      <c r="U84" s="3" t="s">
        <v>335</v>
      </c>
      <c r="V84" s="3" t="s">
        <v>332</v>
      </c>
      <c r="W84" s="3" t="s">
        <v>360</v>
      </c>
      <c r="X84" s="3" t="s">
        <v>148</v>
      </c>
      <c r="Y84" s="3">
        <v>9</v>
      </c>
      <c r="Z84" s="3">
        <v>0</v>
      </c>
      <c r="AA84" s="3">
        <v>70</v>
      </c>
      <c r="AB84" s="11" t="s">
        <v>397</v>
      </c>
    </row>
    <row r="85" spans="1:28">
      <c r="A85" s="3" t="s">
        <v>53</v>
      </c>
      <c r="B85" s="3" t="s">
        <v>395</v>
      </c>
      <c r="C85" s="3">
        <v>5</v>
      </c>
      <c r="D85" s="3" t="s">
        <v>54</v>
      </c>
      <c r="E85" s="3">
        <v>2.2999999999999998</v>
      </c>
      <c r="F85" s="3">
        <v>2001</v>
      </c>
      <c r="G85" s="4">
        <v>1.653E-2</v>
      </c>
      <c r="H85" s="3">
        <v>15</v>
      </c>
      <c r="I85" s="4">
        <f t="shared" si="13"/>
        <v>2.4787093415727466E-2</v>
      </c>
      <c r="J85" s="4">
        <v>6.3999999999999994E-3</v>
      </c>
      <c r="K85" s="4">
        <v>1.7389999999999999E-2</v>
      </c>
      <c r="L85" s="3">
        <v>15</v>
      </c>
      <c r="M85" s="4">
        <f t="shared" si="14"/>
        <v>3.2378140774294004E-2</v>
      </c>
      <c r="N85" s="4">
        <v>8.3599999999999994E-3</v>
      </c>
      <c r="O85" s="4">
        <f t="shared" si="16"/>
        <v>5.0718416533258759E-2</v>
      </c>
      <c r="P85" s="4">
        <f t="shared" si="15"/>
        <v>0.38101150657415817</v>
      </c>
      <c r="Q85" s="4" t="s">
        <v>295</v>
      </c>
      <c r="R85" s="3" t="s">
        <v>130</v>
      </c>
      <c r="S85" s="3" t="s">
        <v>221</v>
      </c>
      <c r="T85" s="3" t="s">
        <v>97</v>
      </c>
      <c r="U85" s="3" t="s">
        <v>335</v>
      </c>
      <c r="V85" s="3" t="s">
        <v>332</v>
      </c>
      <c r="W85" s="3" t="s">
        <v>360</v>
      </c>
      <c r="X85" s="3" t="s">
        <v>148</v>
      </c>
      <c r="Y85" s="3">
        <v>9</v>
      </c>
      <c r="Z85" s="3">
        <v>0</v>
      </c>
      <c r="AA85" s="3">
        <v>102</v>
      </c>
      <c r="AB85" s="11" t="s">
        <v>397</v>
      </c>
    </row>
    <row r="86" spans="1:28">
      <c r="A86" s="3" t="s">
        <v>53</v>
      </c>
      <c r="B86" s="3" t="s">
        <v>395</v>
      </c>
      <c r="C86" s="3">
        <v>6</v>
      </c>
      <c r="D86" s="3" t="s">
        <v>54</v>
      </c>
      <c r="E86" s="3">
        <v>2.2999999999999998</v>
      </c>
      <c r="F86" s="3">
        <v>2001</v>
      </c>
      <c r="G86" s="4">
        <v>1.653E-2</v>
      </c>
      <c r="H86" s="3">
        <v>15</v>
      </c>
      <c r="I86" s="4">
        <f t="shared" si="13"/>
        <v>2.4787093415727466E-2</v>
      </c>
      <c r="J86" s="4">
        <v>6.3999999999999994E-3</v>
      </c>
      <c r="K86" s="4">
        <v>5.5410000000000001E-2</v>
      </c>
      <c r="L86" s="3">
        <v>15</v>
      </c>
      <c r="M86" s="4">
        <f t="shared" si="14"/>
        <v>3.7025720789742901E-2</v>
      </c>
      <c r="N86" s="4">
        <v>9.5599999999999991E-3</v>
      </c>
      <c r="O86" s="4">
        <f t="shared" si="16"/>
        <v>1.2095831710463256</v>
      </c>
      <c r="P86" s="4">
        <f t="shared" si="15"/>
        <v>0.17967165453256087</v>
      </c>
      <c r="Q86" s="4" t="s">
        <v>295</v>
      </c>
      <c r="R86" s="3" t="s">
        <v>130</v>
      </c>
      <c r="S86" s="3" t="s">
        <v>221</v>
      </c>
      <c r="T86" s="3" t="s">
        <v>97</v>
      </c>
      <c r="U86" s="3" t="s">
        <v>335</v>
      </c>
      <c r="V86" s="3" t="s">
        <v>332</v>
      </c>
      <c r="W86" s="3" t="s">
        <v>360</v>
      </c>
      <c r="X86" s="3" t="s">
        <v>148</v>
      </c>
      <c r="Y86" s="3">
        <v>9</v>
      </c>
      <c r="Z86" s="3">
        <v>0</v>
      </c>
      <c r="AA86" s="3">
        <v>102</v>
      </c>
      <c r="AB86" s="11" t="s">
        <v>397</v>
      </c>
    </row>
    <row r="87" spans="1:28">
      <c r="A87" s="3" t="s">
        <v>55</v>
      </c>
      <c r="B87" s="3" t="s">
        <v>56</v>
      </c>
      <c r="C87" s="3">
        <v>1</v>
      </c>
      <c r="D87" s="3" t="s">
        <v>40</v>
      </c>
      <c r="E87" s="3">
        <v>2.8</v>
      </c>
      <c r="F87" s="3">
        <v>2012</v>
      </c>
      <c r="G87" s="4">
        <v>14.281940000000001</v>
      </c>
      <c r="H87" s="3">
        <v>7</v>
      </c>
      <c r="I87" s="4">
        <f t="shared" si="13"/>
        <v>11.833016908683939</v>
      </c>
      <c r="J87" s="4">
        <v>4.4724599999999999</v>
      </c>
      <c r="K87" s="4">
        <v>16.59469</v>
      </c>
      <c r="L87" s="3">
        <v>7</v>
      </c>
      <c r="M87" s="4">
        <f t="shared" si="14"/>
        <v>7.8661096804392407</v>
      </c>
      <c r="N87" s="4">
        <v>2.9731099999999984</v>
      </c>
      <c r="O87" s="4">
        <f t="shared" si="16"/>
        <v>0.15008696264624963</v>
      </c>
      <c r="P87" s="4">
        <f t="shared" si="15"/>
        <v>0.13016443454442869</v>
      </c>
      <c r="Q87" s="4" t="s">
        <v>299</v>
      </c>
      <c r="R87" s="3" t="s">
        <v>177</v>
      </c>
      <c r="S87" s="3" t="s">
        <v>221</v>
      </c>
      <c r="T87" s="3" t="s">
        <v>8</v>
      </c>
      <c r="U87" s="3" t="s">
        <v>335</v>
      </c>
      <c r="V87" s="3" t="s">
        <v>332</v>
      </c>
      <c r="W87" s="3" t="s">
        <v>112</v>
      </c>
      <c r="X87" s="3" t="s">
        <v>99</v>
      </c>
      <c r="Y87" s="3">
        <v>40</v>
      </c>
      <c r="Z87" s="3">
        <v>19</v>
      </c>
      <c r="AA87" s="3">
        <v>0</v>
      </c>
      <c r="AB87" s="11" t="s">
        <v>397</v>
      </c>
    </row>
    <row r="88" spans="1:28">
      <c r="A88" s="3" t="s">
        <v>55</v>
      </c>
      <c r="B88" s="3" t="s">
        <v>56</v>
      </c>
      <c r="C88" s="3">
        <v>2</v>
      </c>
      <c r="D88" s="3" t="s">
        <v>40</v>
      </c>
      <c r="E88" s="3">
        <v>2.8</v>
      </c>
      <c r="F88" s="3">
        <v>2012</v>
      </c>
      <c r="G88" s="4">
        <v>13.930759999999999</v>
      </c>
      <c r="H88" s="3">
        <v>7</v>
      </c>
      <c r="I88" s="4">
        <f t="shared" ref="I88:I117" si="17" xml:space="preserve"> J88 * SQRT(H88)</f>
        <v>7.3852708371663685</v>
      </c>
      <c r="J88" s="4">
        <v>2.7913700000000006</v>
      </c>
      <c r="K88" s="4">
        <v>23.834140000000001</v>
      </c>
      <c r="L88" s="3">
        <v>7</v>
      </c>
      <c r="M88" s="4">
        <f t="shared" si="14"/>
        <v>6.0978482492023307</v>
      </c>
      <c r="N88" s="4">
        <v>2.3047699999999978</v>
      </c>
      <c r="O88" s="4">
        <f t="shared" si="16"/>
        <v>0.53701966180265737</v>
      </c>
      <c r="P88" s="4">
        <f t="shared" si="15"/>
        <v>4.9500927301842072E-2</v>
      </c>
      <c r="Q88" s="4" t="s">
        <v>299</v>
      </c>
      <c r="R88" s="3" t="s">
        <v>177</v>
      </c>
      <c r="S88" s="3" t="s">
        <v>221</v>
      </c>
      <c r="T88" s="3" t="s">
        <v>8</v>
      </c>
      <c r="U88" s="3" t="s">
        <v>335</v>
      </c>
      <c r="V88" s="3" t="s">
        <v>332</v>
      </c>
      <c r="W88" s="3" t="s">
        <v>112</v>
      </c>
      <c r="X88" s="3" t="s">
        <v>99</v>
      </c>
      <c r="Y88" s="3">
        <v>40</v>
      </c>
      <c r="Z88" s="3">
        <v>19</v>
      </c>
      <c r="AA88" s="3">
        <v>0</v>
      </c>
      <c r="AB88" s="11" t="s">
        <v>397</v>
      </c>
    </row>
    <row r="89" spans="1:28">
      <c r="A89" s="3" t="s">
        <v>55</v>
      </c>
      <c r="B89" s="3" t="s">
        <v>56</v>
      </c>
      <c r="C89" s="3">
        <v>3</v>
      </c>
      <c r="D89" s="3" t="s">
        <v>40</v>
      </c>
      <c r="E89" s="3">
        <v>2.8</v>
      </c>
      <c r="F89" s="3">
        <v>2012</v>
      </c>
      <c r="G89" s="4">
        <v>5.0568</v>
      </c>
      <c r="H89" s="3">
        <v>7</v>
      </c>
      <c r="I89" s="4">
        <f t="shared" si="17"/>
        <v>5.0786783866671446</v>
      </c>
      <c r="J89" s="4">
        <v>1.9195599999999997</v>
      </c>
      <c r="K89" s="4">
        <v>8.5319500000000001</v>
      </c>
      <c r="L89" s="3">
        <v>7</v>
      </c>
      <c r="M89" s="4">
        <f t="shared" si="14"/>
        <v>5.1086812065346168</v>
      </c>
      <c r="N89" s="4">
        <v>1.9308999999999994</v>
      </c>
      <c r="O89" s="4">
        <f t="shared" si="16"/>
        <v>0.52308406812531028</v>
      </c>
      <c r="P89" s="4">
        <f t="shared" si="15"/>
        <v>0.19531400862567797</v>
      </c>
      <c r="Q89" s="4" t="s">
        <v>299</v>
      </c>
      <c r="R89" s="3" t="s">
        <v>177</v>
      </c>
      <c r="S89" s="3" t="s">
        <v>221</v>
      </c>
      <c r="T89" s="3" t="s">
        <v>8</v>
      </c>
      <c r="U89" s="3" t="s">
        <v>335</v>
      </c>
      <c r="V89" s="3" t="s">
        <v>332</v>
      </c>
      <c r="W89" s="3" t="s">
        <v>112</v>
      </c>
      <c r="X89" s="3" t="s">
        <v>99</v>
      </c>
      <c r="Y89" s="3">
        <v>40</v>
      </c>
      <c r="Z89" s="3">
        <v>19</v>
      </c>
      <c r="AA89" s="3">
        <v>0</v>
      </c>
      <c r="AB89" s="11" t="s">
        <v>397</v>
      </c>
    </row>
    <row r="90" spans="1:28">
      <c r="A90" s="3" t="s">
        <v>55</v>
      </c>
      <c r="B90" s="3" t="s">
        <v>56</v>
      </c>
      <c r="C90" s="3">
        <v>4</v>
      </c>
      <c r="D90" s="3" t="s">
        <v>40</v>
      </c>
      <c r="E90" s="3">
        <v>2.8</v>
      </c>
      <c r="F90" s="3">
        <v>2012</v>
      </c>
      <c r="G90" s="4">
        <v>4.3795400000000004</v>
      </c>
      <c r="H90" s="3">
        <v>7</v>
      </c>
      <c r="I90" s="4">
        <f t="shared" si="17"/>
        <v>2.2126947364695377</v>
      </c>
      <c r="J90" s="4">
        <v>0.83631999999999973</v>
      </c>
      <c r="K90" s="4">
        <v>11.471270000000001</v>
      </c>
      <c r="L90" s="3">
        <v>7</v>
      </c>
      <c r="M90" s="4">
        <f t="shared" si="14"/>
        <v>5.0467441683425944</v>
      </c>
      <c r="N90" s="4">
        <v>1.9074899999999992</v>
      </c>
      <c r="O90" s="4">
        <f t="shared" si="16"/>
        <v>0.96290195259670275</v>
      </c>
      <c r="P90" s="4">
        <f t="shared" si="15"/>
        <v>6.4116394329502918E-2</v>
      </c>
      <c r="Q90" s="4" t="s">
        <v>299</v>
      </c>
      <c r="R90" s="3" t="s">
        <v>177</v>
      </c>
      <c r="S90" s="3" t="s">
        <v>221</v>
      </c>
      <c r="T90" s="3" t="s">
        <v>8</v>
      </c>
      <c r="U90" s="3" t="s">
        <v>335</v>
      </c>
      <c r="V90" s="3" t="s">
        <v>332</v>
      </c>
      <c r="W90" s="3" t="s">
        <v>112</v>
      </c>
      <c r="X90" s="3" t="s">
        <v>99</v>
      </c>
      <c r="Y90" s="3">
        <v>40</v>
      </c>
      <c r="Z90" s="3">
        <v>19</v>
      </c>
      <c r="AA90" s="3">
        <v>0</v>
      </c>
      <c r="AB90" s="11" t="s">
        <v>397</v>
      </c>
    </row>
    <row r="91" spans="1:28">
      <c r="A91" s="3" t="s">
        <v>58</v>
      </c>
      <c r="B91" s="3" t="s">
        <v>59</v>
      </c>
      <c r="C91" s="3">
        <v>1</v>
      </c>
      <c r="D91" s="3" t="s">
        <v>57</v>
      </c>
      <c r="E91" s="3">
        <v>3.6</v>
      </c>
      <c r="F91" s="3">
        <v>2008</v>
      </c>
      <c r="G91" s="4">
        <v>55.224240000000002</v>
      </c>
      <c r="H91" s="3">
        <v>20</v>
      </c>
      <c r="I91" s="4">
        <f t="shared" si="17"/>
        <v>32.388326620095697</v>
      </c>
      <c r="J91" s="4">
        <v>7.2422499999999985</v>
      </c>
      <c r="K91" s="4">
        <v>69.695030000000003</v>
      </c>
      <c r="L91" s="3">
        <v>20</v>
      </c>
      <c r="M91" s="4">
        <f t="shared" si="14"/>
        <v>48.276170977905828</v>
      </c>
      <c r="N91" s="4">
        <v>10.794879999999992</v>
      </c>
      <c r="O91" s="4">
        <f t="shared" si="16"/>
        <v>0.23272702230042433</v>
      </c>
      <c r="P91" s="4">
        <f t="shared" si="15"/>
        <v>4.1188477391472675E-2</v>
      </c>
      <c r="Q91" s="4" t="s">
        <v>292</v>
      </c>
      <c r="R91" s="3" t="s">
        <v>113</v>
      </c>
      <c r="S91" s="3" t="s">
        <v>221</v>
      </c>
      <c r="T91" s="3" t="s">
        <v>8</v>
      </c>
      <c r="U91" s="3" t="s">
        <v>335</v>
      </c>
      <c r="V91" s="3" t="s">
        <v>332</v>
      </c>
      <c r="W91" s="3" t="s">
        <v>112</v>
      </c>
      <c r="X91" s="3" t="s">
        <v>98</v>
      </c>
      <c r="Y91" s="3">
        <v>20</v>
      </c>
      <c r="Z91" s="3">
        <v>10</v>
      </c>
      <c r="AA91" s="3">
        <v>0</v>
      </c>
      <c r="AB91" s="11" t="s">
        <v>397</v>
      </c>
    </row>
    <row r="92" spans="1:28">
      <c r="A92" s="3" t="s">
        <v>58</v>
      </c>
      <c r="B92" s="3" t="s">
        <v>59</v>
      </c>
      <c r="C92" s="3">
        <v>2</v>
      </c>
      <c r="D92" s="3" t="s">
        <v>57</v>
      </c>
      <c r="E92" s="3">
        <v>3.6</v>
      </c>
      <c r="F92" s="3">
        <v>2008</v>
      </c>
      <c r="G92" s="4">
        <v>137.71095</v>
      </c>
      <c r="H92" s="3">
        <v>20</v>
      </c>
      <c r="I92" s="4">
        <f t="shared" si="17"/>
        <v>49.011300686188697</v>
      </c>
      <c r="J92" s="4">
        <v>10.95926</v>
      </c>
      <c r="K92" s="4">
        <v>110.58678</v>
      </c>
      <c r="L92" s="3">
        <v>20</v>
      </c>
      <c r="M92" s="4">
        <f t="shared" si="14"/>
        <v>48.439493382982455</v>
      </c>
      <c r="N92" s="4">
        <v>10.831400000000002</v>
      </c>
      <c r="O92" s="4">
        <f t="shared" si="16"/>
        <v>-0.21935637116345111</v>
      </c>
      <c r="P92" s="4">
        <f t="shared" si="15"/>
        <v>1.5926417431252886E-2</v>
      </c>
      <c r="Q92" s="4" t="s">
        <v>292</v>
      </c>
      <c r="R92" s="3" t="s">
        <v>113</v>
      </c>
      <c r="S92" s="3" t="s">
        <v>221</v>
      </c>
      <c r="T92" s="3" t="s">
        <v>8</v>
      </c>
      <c r="U92" s="3" t="s">
        <v>335</v>
      </c>
      <c r="V92" s="3" t="s">
        <v>332</v>
      </c>
      <c r="W92" s="3" t="s">
        <v>112</v>
      </c>
      <c r="X92" s="3" t="s">
        <v>98</v>
      </c>
      <c r="Y92" s="3">
        <v>20</v>
      </c>
      <c r="Z92" s="3">
        <v>10</v>
      </c>
      <c r="AA92" s="3">
        <v>38</v>
      </c>
      <c r="AB92" s="11" t="s">
        <v>397</v>
      </c>
    </row>
    <row r="93" spans="1:28">
      <c r="A93" s="3" t="s">
        <v>58</v>
      </c>
      <c r="B93" s="3" t="s">
        <v>59</v>
      </c>
      <c r="C93" s="3">
        <v>3</v>
      </c>
      <c r="D93" s="3" t="s">
        <v>57</v>
      </c>
      <c r="E93" s="3">
        <v>3.6</v>
      </c>
      <c r="F93" s="3">
        <v>2008</v>
      </c>
      <c r="G93" s="4">
        <v>70.571770000000001</v>
      </c>
      <c r="H93" s="3">
        <v>20</v>
      </c>
      <c r="I93" s="4">
        <f t="shared" si="17"/>
        <v>27.344249197811251</v>
      </c>
      <c r="J93" s="4">
        <v>6.1143600000000049</v>
      </c>
      <c r="K93" s="4">
        <v>61.74044</v>
      </c>
      <c r="L93" s="3">
        <v>20</v>
      </c>
      <c r="M93" s="4">
        <f t="shared" si="14"/>
        <v>22.790228433475601</v>
      </c>
      <c r="N93" s="4">
        <v>5.0960499999999982</v>
      </c>
      <c r="O93" s="4">
        <f t="shared" si="16"/>
        <v>-0.13369106046877946</v>
      </c>
      <c r="P93" s="4">
        <f t="shared" si="15"/>
        <v>1.4319379020797642E-2</v>
      </c>
      <c r="Q93" s="4" t="s">
        <v>292</v>
      </c>
      <c r="R93" s="3" t="s">
        <v>113</v>
      </c>
      <c r="S93" s="3" t="s">
        <v>221</v>
      </c>
      <c r="T93" s="3" t="s">
        <v>8</v>
      </c>
      <c r="U93" s="3" t="s">
        <v>335</v>
      </c>
      <c r="V93" s="3" t="s">
        <v>332</v>
      </c>
      <c r="W93" s="3" t="s">
        <v>112</v>
      </c>
      <c r="X93" s="3" t="s">
        <v>98</v>
      </c>
      <c r="Y93" s="3">
        <v>20</v>
      </c>
      <c r="Z93" s="3">
        <v>10</v>
      </c>
      <c r="AA93" s="3">
        <v>119</v>
      </c>
      <c r="AB93" s="11" t="s">
        <v>397</v>
      </c>
    </row>
    <row r="94" spans="1:28">
      <c r="A94" s="3" t="s">
        <v>58</v>
      </c>
      <c r="B94" s="3" t="s">
        <v>59</v>
      </c>
      <c r="C94" s="3">
        <v>4</v>
      </c>
      <c r="D94" s="3" t="s">
        <v>57</v>
      </c>
      <c r="E94" s="3">
        <v>3.6</v>
      </c>
      <c r="F94" s="3">
        <v>2008</v>
      </c>
      <c r="G94" s="3">
        <v>36.624510000000001</v>
      </c>
      <c r="H94" s="3">
        <v>20</v>
      </c>
      <c r="I94" s="4">
        <f t="shared" si="17"/>
        <v>17.233465345309963</v>
      </c>
      <c r="J94" s="3">
        <v>3.8535199999999961</v>
      </c>
      <c r="K94" s="3">
        <v>31.26427</v>
      </c>
      <c r="L94" s="3">
        <v>20</v>
      </c>
      <c r="M94" s="4">
        <f t="shared" si="14"/>
        <v>14.025915274305627</v>
      </c>
      <c r="N94" s="3">
        <v>3.1362899999999989</v>
      </c>
      <c r="O94" s="4">
        <f>LN(K94/G94)</f>
        <v>-0.15824177645404916</v>
      </c>
      <c r="P94" s="4">
        <f t="shared" si="15"/>
        <v>2.1133804859852626E-2</v>
      </c>
      <c r="Q94" s="4" t="s">
        <v>292</v>
      </c>
      <c r="R94" s="3" t="s">
        <v>113</v>
      </c>
      <c r="S94" s="3" t="s">
        <v>221</v>
      </c>
      <c r="T94" s="3" t="s">
        <v>134</v>
      </c>
      <c r="U94" s="3" t="s">
        <v>335</v>
      </c>
      <c r="V94" s="3" t="s">
        <v>332</v>
      </c>
      <c r="W94" s="3" t="s">
        <v>112</v>
      </c>
      <c r="X94" s="3" t="s">
        <v>98</v>
      </c>
      <c r="Y94" s="3">
        <v>20</v>
      </c>
      <c r="Z94" s="3">
        <v>10</v>
      </c>
      <c r="AA94" s="3">
        <v>0</v>
      </c>
      <c r="AB94" s="11" t="s">
        <v>397</v>
      </c>
    </row>
    <row r="95" spans="1:28">
      <c r="A95" s="3" t="s">
        <v>58</v>
      </c>
      <c r="B95" s="3" t="s">
        <v>59</v>
      </c>
      <c r="C95" s="3">
        <v>5</v>
      </c>
      <c r="D95" s="3" t="s">
        <v>57</v>
      </c>
      <c r="E95" s="3">
        <v>3.6</v>
      </c>
      <c r="F95" s="3">
        <v>2008</v>
      </c>
      <c r="G95" s="3">
        <v>63.40945</v>
      </c>
      <c r="H95" s="3">
        <v>20</v>
      </c>
      <c r="I95" s="4">
        <f t="shared" si="17"/>
        <v>17.815200790336338</v>
      </c>
      <c r="J95" s="3">
        <v>3.9836000000000027</v>
      </c>
      <c r="K95" s="3">
        <v>83.217230000000001</v>
      </c>
      <c r="L95" s="3">
        <v>20</v>
      </c>
      <c r="M95" s="4">
        <f t="shared" si="14"/>
        <v>29.796992162330717</v>
      </c>
      <c r="N95" s="3">
        <v>6.6628099999999932</v>
      </c>
      <c r="O95" s="4">
        <f>LN(K95/G95)</f>
        <v>0.2718415137693117</v>
      </c>
      <c r="P95" s="4">
        <f t="shared" si="15"/>
        <v>1.0357232536410485E-2</v>
      </c>
      <c r="Q95" s="4" t="s">
        <v>292</v>
      </c>
      <c r="R95" s="3" t="s">
        <v>113</v>
      </c>
      <c r="S95" s="3" t="s">
        <v>221</v>
      </c>
      <c r="T95" s="3" t="s">
        <v>134</v>
      </c>
      <c r="U95" s="3" t="s">
        <v>335</v>
      </c>
      <c r="V95" s="3" t="s">
        <v>332</v>
      </c>
      <c r="W95" s="3" t="s">
        <v>112</v>
      </c>
      <c r="X95" s="3" t="s">
        <v>98</v>
      </c>
      <c r="Y95" s="3">
        <v>20</v>
      </c>
      <c r="Z95" s="3">
        <v>10</v>
      </c>
      <c r="AA95" s="3">
        <v>38</v>
      </c>
      <c r="AB95" s="11" t="s">
        <v>397</v>
      </c>
    </row>
    <row r="96" spans="1:28">
      <c r="A96" s="3" t="s">
        <v>58</v>
      </c>
      <c r="B96" s="3" t="s">
        <v>59</v>
      </c>
      <c r="C96" s="3">
        <v>6</v>
      </c>
      <c r="D96" s="3" t="s">
        <v>57</v>
      </c>
      <c r="E96" s="3">
        <v>3.6</v>
      </c>
      <c r="F96" s="3">
        <v>2008</v>
      </c>
      <c r="G96" s="3">
        <v>82.369919999999993</v>
      </c>
      <c r="H96" s="3">
        <v>20</v>
      </c>
      <c r="I96" s="4">
        <f t="shared" si="17"/>
        <v>22.30737191441435</v>
      </c>
      <c r="J96" s="3">
        <v>4.9880800000000107</v>
      </c>
      <c r="K96" s="3">
        <v>90.633399999999995</v>
      </c>
      <c r="L96" s="3">
        <v>20</v>
      </c>
      <c r="M96" s="4">
        <f t="shared" si="14"/>
        <v>16.538629581981688</v>
      </c>
      <c r="N96" s="3">
        <v>3.6981499999999983</v>
      </c>
      <c r="O96" s="4">
        <f>LN(K96/G96)</f>
        <v>9.5602476809293568E-2</v>
      </c>
      <c r="P96" s="4">
        <f t="shared" si="15"/>
        <v>5.332073904952747E-3</v>
      </c>
      <c r="Q96" s="4" t="s">
        <v>292</v>
      </c>
      <c r="R96" s="3" t="s">
        <v>113</v>
      </c>
      <c r="S96" s="3" t="s">
        <v>221</v>
      </c>
      <c r="T96" s="3" t="s">
        <v>134</v>
      </c>
      <c r="U96" s="3" t="s">
        <v>335</v>
      </c>
      <c r="V96" s="3" t="s">
        <v>332</v>
      </c>
      <c r="W96" s="3" t="s">
        <v>112</v>
      </c>
      <c r="X96" s="3" t="s">
        <v>98</v>
      </c>
      <c r="Y96" s="3">
        <v>20</v>
      </c>
      <c r="Z96" s="3">
        <v>10</v>
      </c>
      <c r="AA96" s="3">
        <v>119</v>
      </c>
      <c r="AB96" s="11" t="s">
        <v>397</v>
      </c>
    </row>
    <row r="97" spans="1:28">
      <c r="A97" s="3" t="s">
        <v>60</v>
      </c>
      <c r="B97" s="3" t="s">
        <v>61</v>
      </c>
      <c r="C97" s="3">
        <v>1</v>
      </c>
      <c r="D97" s="3" t="s">
        <v>57</v>
      </c>
      <c r="E97" s="3">
        <v>3.6</v>
      </c>
      <c r="F97" s="3">
        <v>2003</v>
      </c>
      <c r="G97" s="4">
        <v>99.771079999999998</v>
      </c>
      <c r="H97" s="3">
        <v>4</v>
      </c>
      <c r="I97" s="4">
        <f t="shared" si="17"/>
        <v>19.579599999999999</v>
      </c>
      <c r="J97" s="4">
        <v>9.7897999999999996</v>
      </c>
      <c r="K97" s="4">
        <v>75.373869999999997</v>
      </c>
      <c r="L97" s="3">
        <v>4</v>
      </c>
      <c r="M97" s="4">
        <f t="shared" ref="M97:M117" si="18" xml:space="preserve"> N97 * SQRT(L97)</f>
        <v>11.863879999999995</v>
      </c>
      <c r="N97" s="4">
        <v>5.9319399999999973</v>
      </c>
      <c r="O97" s="4">
        <f t="shared" ref="O97:O127" si="19">LN(K97/G97)</f>
        <v>-0.28041769853724402</v>
      </c>
      <c r="P97" s="4">
        <f t="shared" si="15"/>
        <v>1.5821773320595006E-2</v>
      </c>
      <c r="Q97" s="4" t="s">
        <v>302</v>
      </c>
      <c r="R97" s="3" t="s">
        <v>114</v>
      </c>
      <c r="S97" s="3" t="s">
        <v>221</v>
      </c>
      <c r="T97" s="3" t="s">
        <v>8</v>
      </c>
      <c r="U97" s="3" t="s">
        <v>335</v>
      </c>
      <c r="V97" s="3" t="s">
        <v>333</v>
      </c>
      <c r="W97" s="3" t="s">
        <v>360</v>
      </c>
      <c r="X97" s="3" t="s">
        <v>102</v>
      </c>
      <c r="Y97" s="3">
        <v>10</v>
      </c>
      <c r="Z97" s="3">
        <v>0</v>
      </c>
      <c r="AA97" s="3">
        <v>365</v>
      </c>
      <c r="AB97" s="11" t="s">
        <v>397</v>
      </c>
    </row>
    <row r="98" spans="1:28">
      <c r="A98" s="3" t="s">
        <v>93</v>
      </c>
      <c r="B98" s="3" t="s">
        <v>94</v>
      </c>
      <c r="C98" s="3">
        <v>1</v>
      </c>
      <c r="D98" s="3" t="s">
        <v>34</v>
      </c>
      <c r="E98" s="3">
        <v>2.7</v>
      </c>
      <c r="F98" s="3">
        <v>2001</v>
      </c>
      <c r="G98" s="4">
        <v>18.5657</v>
      </c>
      <c r="H98" s="3">
        <v>4</v>
      </c>
      <c r="I98" s="4">
        <f t="shared" si="17"/>
        <v>3.0362599999999986</v>
      </c>
      <c r="J98" s="4">
        <v>1.5181299999999993</v>
      </c>
      <c r="K98" s="4">
        <v>23.62331</v>
      </c>
      <c r="L98" s="3">
        <v>4</v>
      </c>
      <c r="M98" s="4">
        <f t="shared" si="18"/>
        <v>3.2236600000000024</v>
      </c>
      <c r="N98" s="4">
        <v>1.6118300000000012</v>
      </c>
      <c r="O98" s="4">
        <f t="shared" si="19"/>
        <v>0.24091814415180368</v>
      </c>
      <c r="P98" s="4">
        <f t="shared" si="15"/>
        <v>1.1341844537117833E-2</v>
      </c>
      <c r="Q98" s="4" t="s">
        <v>299</v>
      </c>
      <c r="R98" s="3" t="s">
        <v>177</v>
      </c>
      <c r="S98" s="3" t="s">
        <v>221</v>
      </c>
      <c r="T98" s="3" t="s">
        <v>8</v>
      </c>
      <c r="U98" s="3" t="s">
        <v>337</v>
      </c>
      <c r="V98" s="3" t="s">
        <v>332</v>
      </c>
      <c r="W98" s="3" t="s">
        <v>360</v>
      </c>
      <c r="X98" s="3" t="s">
        <v>147</v>
      </c>
      <c r="Y98" s="3">
        <v>25</v>
      </c>
      <c r="Z98" s="3">
        <v>0</v>
      </c>
      <c r="AA98" s="3">
        <v>15</v>
      </c>
      <c r="AB98" s="11" t="s">
        <v>397</v>
      </c>
    </row>
    <row r="99" spans="1:28">
      <c r="A99" s="3" t="s">
        <v>93</v>
      </c>
      <c r="B99" s="3" t="s">
        <v>94</v>
      </c>
      <c r="C99" s="3">
        <v>2</v>
      </c>
      <c r="D99" s="3" t="s">
        <v>34</v>
      </c>
      <c r="E99" s="3">
        <v>2.7</v>
      </c>
      <c r="F99" s="3">
        <v>2001</v>
      </c>
      <c r="G99" s="4">
        <v>18.5657</v>
      </c>
      <c r="H99" s="3">
        <v>4</v>
      </c>
      <c r="I99" s="4">
        <f t="shared" si="17"/>
        <v>3.0362599999999986</v>
      </c>
      <c r="J99" s="4">
        <v>1.5181299999999993</v>
      </c>
      <c r="K99" s="4">
        <v>26.798500000000001</v>
      </c>
      <c r="L99" s="3">
        <v>4</v>
      </c>
      <c r="M99" s="4">
        <f t="shared" si="18"/>
        <v>3.058880000000002</v>
      </c>
      <c r="N99" s="4">
        <v>1.529440000000001</v>
      </c>
      <c r="O99" s="4">
        <f t="shared" si="19"/>
        <v>0.36703012352340836</v>
      </c>
      <c r="P99" s="4">
        <f t="shared" si="15"/>
        <v>9.943641048797882E-3</v>
      </c>
      <c r="Q99" s="4" t="s">
        <v>299</v>
      </c>
      <c r="R99" s="3" t="s">
        <v>177</v>
      </c>
      <c r="S99" s="3" t="s">
        <v>221</v>
      </c>
      <c r="T99" s="3" t="s">
        <v>8</v>
      </c>
      <c r="U99" s="3" t="s">
        <v>337</v>
      </c>
      <c r="V99" s="3" t="s">
        <v>332</v>
      </c>
      <c r="W99" s="3" t="s">
        <v>360</v>
      </c>
      <c r="X99" s="3" t="s">
        <v>147</v>
      </c>
      <c r="Y99" s="3">
        <v>75</v>
      </c>
      <c r="Z99" s="3">
        <v>0</v>
      </c>
      <c r="AA99" s="3">
        <v>15</v>
      </c>
      <c r="AB99" s="11" t="s">
        <v>397</v>
      </c>
    </row>
    <row r="100" spans="1:28">
      <c r="A100" s="3" t="s">
        <v>93</v>
      </c>
      <c r="B100" s="3" t="s">
        <v>94</v>
      </c>
      <c r="C100" s="3">
        <v>3</v>
      </c>
      <c r="D100" s="3" t="s">
        <v>34</v>
      </c>
      <c r="E100" s="3">
        <v>2.7</v>
      </c>
      <c r="F100" s="3">
        <v>2001</v>
      </c>
      <c r="G100" s="4">
        <v>13.685790000000001</v>
      </c>
      <c r="H100" s="3">
        <v>4</v>
      </c>
      <c r="I100" s="4">
        <f t="shared" si="17"/>
        <v>2.110599999999998</v>
      </c>
      <c r="J100" s="4">
        <v>1.055299999999999</v>
      </c>
      <c r="K100" s="4">
        <v>16.9773</v>
      </c>
      <c r="L100" s="3">
        <v>4</v>
      </c>
      <c r="M100" s="4">
        <f t="shared" si="18"/>
        <v>1.7382399999999976</v>
      </c>
      <c r="N100" s="4">
        <v>0.86911999999999878</v>
      </c>
      <c r="O100" s="4">
        <f t="shared" si="19"/>
        <v>0.21551908937368899</v>
      </c>
      <c r="P100" s="4">
        <f t="shared" si="15"/>
        <v>8.5665549070931164E-3</v>
      </c>
      <c r="Q100" s="4" t="s">
        <v>299</v>
      </c>
      <c r="R100" s="3" t="s">
        <v>177</v>
      </c>
      <c r="S100" s="3" t="s">
        <v>221</v>
      </c>
      <c r="T100" s="3" t="s">
        <v>8</v>
      </c>
      <c r="U100" s="3" t="s">
        <v>337</v>
      </c>
      <c r="V100" s="3" t="s">
        <v>332</v>
      </c>
      <c r="W100" s="3" t="s">
        <v>360</v>
      </c>
      <c r="X100" s="3" t="s">
        <v>147</v>
      </c>
      <c r="Y100" s="3">
        <v>25</v>
      </c>
      <c r="Z100" s="3">
        <v>0</v>
      </c>
      <c r="AA100" s="3">
        <v>15</v>
      </c>
      <c r="AB100" s="11" t="s">
        <v>397</v>
      </c>
    </row>
    <row r="101" spans="1:28">
      <c r="A101" s="3" t="s">
        <v>93</v>
      </c>
      <c r="B101" s="3" t="s">
        <v>94</v>
      </c>
      <c r="C101" s="3">
        <v>4</v>
      </c>
      <c r="D101" s="3" t="s">
        <v>34</v>
      </c>
      <c r="E101" s="3">
        <v>2.7</v>
      </c>
      <c r="F101" s="3">
        <v>2001</v>
      </c>
      <c r="G101" s="4">
        <v>13.685790000000001</v>
      </c>
      <c r="H101" s="3">
        <v>4</v>
      </c>
      <c r="I101" s="4">
        <f t="shared" si="17"/>
        <v>2.110599999999998</v>
      </c>
      <c r="J101" s="4">
        <v>1.055299999999999</v>
      </c>
      <c r="K101" s="4">
        <v>20.485679999999999</v>
      </c>
      <c r="L101" s="3">
        <v>4</v>
      </c>
      <c r="M101" s="4">
        <f t="shared" si="18"/>
        <v>2.6889400000000023</v>
      </c>
      <c r="N101" s="4">
        <v>1.3444700000000012</v>
      </c>
      <c r="O101" s="4">
        <f t="shared" si="19"/>
        <v>0.40336803720335918</v>
      </c>
      <c r="P101" s="4">
        <f t="shared" si="15"/>
        <v>1.0253088858205923E-2</v>
      </c>
      <c r="Q101" s="4" t="s">
        <v>299</v>
      </c>
      <c r="R101" s="3" t="s">
        <v>177</v>
      </c>
      <c r="S101" s="3" t="s">
        <v>221</v>
      </c>
      <c r="T101" s="3" t="s">
        <v>8</v>
      </c>
      <c r="U101" s="3" t="s">
        <v>337</v>
      </c>
      <c r="V101" s="3" t="s">
        <v>332</v>
      </c>
      <c r="W101" s="3" t="s">
        <v>360</v>
      </c>
      <c r="X101" s="3" t="s">
        <v>147</v>
      </c>
      <c r="Y101" s="3">
        <v>75</v>
      </c>
      <c r="Z101" s="3">
        <v>0</v>
      </c>
      <c r="AA101" s="3">
        <v>15</v>
      </c>
      <c r="AB101" s="11" t="s">
        <v>397</v>
      </c>
    </row>
    <row r="102" spans="1:28">
      <c r="A102" s="3" t="s">
        <v>93</v>
      </c>
      <c r="B102" s="3" t="s">
        <v>94</v>
      </c>
      <c r="C102" s="3">
        <v>5</v>
      </c>
      <c r="D102" s="3" t="s">
        <v>34</v>
      </c>
      <c r="E102" s="3">
        <v>2.7</v>
      </c>
      <c r="F102" s="3">
        <v>2001</v>
      </c>
      <c r="G102" s="4">
        <v>12.06589</v>
      </c>
      <c r="H102" s="3">
        <v>4</v>
      </c>
      <c r="I102" s="4">
        <f t="shared" si="17"/>
        <v>2.7002400000000009</v>
      </c>
      <c r="J102" s="4">
        <v>1.3501200000000004</v>
      </c>
      <c r="K102" s="4">
        <v>17.953440000000001</v>
      </c>
      <c r="L102" s="3">
        <v>4</v>
      </c>
      <c r="M102" s="4">
        <f t="shared" si="18"/>
        <v>2.7874800000000022</v>
      </c>
      <c r="N102" s="4">
        <v>1.3937400000000011</v>
      </c>
      <c r="O102" s="4">
        <f t="shared" si="19"/>
        <v>0.39739927657582669</v>
      </c>
      <c r="P102" s="4">
        <f t="shared" si="15"/>
        <v>1.8547167166630997E-2</v>
      </c>
      <c r="Q102" s="4" t="s">
        <v>299</v>
      </c>
      <c r="R102" s="3" t="s">
        <v>177</v>
      </c>
      <c r="S102" s="3" t="s">
        <v>221</v>
      </c>
      <c r="T102" s="3" t="s">
        <v>8</v>
      </c>
      <c r="U102" s="3" t="s">
        <v>337</v>
      </c>
      <c r="V102" s="3" t="s">
        <v>332</v>
      </c>
      <c r="W102" s="3" t="s">
        <v>360</v>
      </c>
      <c r="X102" s="3" t="s">
        <v>147</v>
      </c>
      <c r="Y102" s="3">
        <v>25</v>
      </c>
      <c r="Z102" s="3">
        <v>0</v>
      </c>
      <c r="AA102" s="3">
        <v>15</v>
      </c>
      <c r="AB102" s="11" t="s">
        <v>397</v>
      </c>
    </row>
    <row r="103" spans="1:28">
      <c r="A103" s="3" t="s">
        <v>93</v>
      </c>
      <c r="B103" s="3" t="s">
        <v>94</v>
      </c>
      <c r="C103" s="3">
        <v>6</v>
      </c>
      <c r="D103" s="3" t="s">
        <v>34</v>
      </c>
      <c r="E103" s="3">
        <v>2.7</v>
      </c>
      <c r="F103" s="3">
        <v>2001</v>
      </c>
      <c r="G103" s="4">
        <v>12.06589</v>
      </c>
      <c r="H103" s="3">
        <v>4</v>
      </c>
      <c r="I103" s="4">
        <f t="shared" si="17"/>
        <v>2.7002400000000009</v>
      </c>
      <c r="J103" s="4">
        <v>1.3501200000000004</v>
      </c>
      <c r="K103" s="4">
        <v>16.215610000000002</v>
      </c>
      <c r="L103" s="3">
        <v>4</v>
      </c>
      <c r="M103" s="4">
        <f t="shared" si="18"/>
        <v>2.4853799999999993</v>
      </c>
      <c r="N103" s="4">
        <v>1.2426899999999996</v>
      </c>
      <c r="O103" s="4">
        <f t="shared" si="19"/>
        <v>0.2955918950885752</v>
      </c>
      <c r="P103" s="4">
        <f t="shared" si="15"/>
        <v>1.8393612094197046E-2</v>
      </c>
      <c r="Q103" s="4" t="s">
        <v>299</v>
      </c>
      <c r="R103" s="3" t="s">
        <v>177</v>
      </c>
      <c r="S103" s="3" t="s">
        <v>221</v>
      </c>
      <c r="T103" s="3" t="s">
        <v>8</v>
      </c>
      <c r="U103" s="3" t="s">
        <v>337</v>
      </c>
      <c r="V103" s="3" t="s">
        <v>332</v>
      </c>
      <c r="W103" s="3" t="s">
        <v>360</v>
      </c>
      <c r="X103" s="3" t="s">
        <v>147</v>
      </c>
      <c r="Y103" s="3">
        <v>75</v>
      </c>
      <c r="Z103" s="3">
        <v>0</v>
      </c>
      <c r="AA103" s="3">
        <v>15</v>
      </c>
      <c r="AB103" s="11" t="s">
        <v>397</v>
      </c>
    </row>
    <row r="104" spans="1:28">
      <c r="A104" s="3" t="s">
        <v>93</v>
      </c>
      <c r="B104" s="3" t="s">
        <v>94</v>
      </c>
      <c r="C104" s="3">
        <v>7</v>
      </c>
      <c r="D104" s="3" t="s">
        <v>34</v>
      </c>
      <c r="E104" s="3">
        <v>2.7</v>
      </c>
      <c r="F104" s="3">
        <v>2001</v>
      </c>
      <c r="G104" s="4">
        <v>9.6329999999999991</v>
      </c>
      <c r="H104" s="3">
        <v>4</v>
      </c>
      <c r="I104" s="4">
        <f t="shared" si="17"/>
        <v>2.3690800000000003</v>
      </c>
      <c r="J104" s="4">
        <v>1.1845400000000001</v>
      </c>
      <c r="K104" s="4">
        <v>11.88899</v>
      </c>
      <c r="L104" s="3">
        <v>4</v>
      </c>
      <c r="M104" s="4">
        <f t="shared" si="18"/>
        <v>2.7947600000000001</v>
      </c>
      <c r="N104" s="4">
        <v>1.3973800000000001</v>
      </c>
      <c r="O104" s="4">
        <f t="shared" si="19"/>
        <v>0.210418057986933</v>
      </c>
      <c r="P104" s="4">
        <f t="shared" si="15"/>
        <v>2.8935480433988858E-2</v>
      </c>
      <c r="Q104" s="4" t="s">
        <v>299</v>
      </c>
      <c r="R104" s="3" t="s">
        <v>177</v>
      </c>
      <c r="S104" s="3" t="s">
        <v>221</v>
      </c>
      <c r="T104" s="3" t="s">
        <v>8</v>
      </c>
      <c r="U104" s="3" t="s">
        <v>337</v>
      </c>
      <c r="V104" s="3" t="s">
        <v>332</v>
      </c>
      <c r="W104" s="3" t="s">
        <v>360</v>
      </c>
      <c r="X104" s="3" t="s">
        <v>147</v>
      </c>
      <c r="Y104" s="3">
        <v>25</v>
      </c>
      <c r="Z104" s="3">
        <v>0</v>
      </c>
      <c r="AA104" s="3">
        <v>15</v>
      </c>
      <c r="AB104" s="11" t="s">
        <v>397</v>
      </c>
    </row>
    <row r="105" spans="1:28">
      <c r="A105" s="3" t="s">
        <v>93</v>
      </c>
      <c r="B105" s="3" t="s">
        <v>94</v>
      </c>
      <c r="C105" s="3">
        <v>8</v>
      </c>
      <c r="D105" s="3" t="s">
        <v>34</v>
      </c>
      <c r="E105" s="3">
        <v>2.7</v>
      </c>
      <c r="F105" s="3">
        <v>2001</v>
      </c>
      <c r="G105" s="4">
        <v>9.6329999999999991</v>
      </c>
      <c r="H105" s="3">
        <v>4</v>
      </c>
      <c r="I105" s="4">
        <f t="shared" si="17"/>
        <v>2.3690800000000003</v>
      </c>
      <c r="J105" s="4">
        <v>1.1845400000000001</v>
      </c>
      <c r="K105" s="4">
        <v>11.5764</v>
      </c>
      <c r="L105" s="3">
        <v>4</v>
      </c>
      <c r="M105" s="4">
        <f t="shared" si="18"/>
        <v>2.6857199999999999</v>
      </c>
      <c r="N105" s="4">
        <v>1.3428599999999999</v>
      </c>
      <c r="O105" s="4">
        <f t="shared" si="19"/>
        <v>0.18377383920688459</v>
      </c>
      <c r="P105" s="4">
        <f t="shared" si="15"/>
        <v>2.8576806626967214E-2</v>
      </c>
      <c r="Q105" s="4" t="s">
        <v>299</v>
      </c>
      <c r="R105" s="3" t="s">
        <v>177</v>
      </c>
      <c r="S105" s="3" t="s">
        <v>221</v>
      </c>
      <c r="T105" s="3" t="s">
        <v>8</v>
      </c>
      <c r="U105" s="3" t="s">
        <v>337</v>
      </c>
      <c r="V105" s="3" t="s">
        <v>332</v>
      </c>
      <c r="W105" s="3" t="s">
        <v>360</v>
      </c>
      <c r="X105" s="3" t="s">
        <v>147</v>
      </c>
      <c r="Y105" s="3">
        <v>75</v>
      </c>
      <c r="Z105" s="3">
        <v>0</v>
      </c>
      <c r="AA105" s="3">
        <v>15</v>
      </c>
      <c r="AB105" s="11" t="s">
        <v>397</v>
      </c>
    </row>
    <row r="106" spans="1:28">
      <c r="A106" s="3" t="s">
        <v>93</v>
      </c>
      <c r="B106" s="3" t="s">
        <v>94</v>
      </c>
      <c r="C106" s="3">
        <v>9</v>
      </c>
      <c r="D106" s="3" t="s">
        <v>34</v>
      </c>
      <c r="E106" s="3">
        <v>2.7</v>
      </c>
      <c r="F106" s="3">
        <v>2001</v>
      </c>
      <c r="G106" s="4">
        <v>9.5393000000000008</v>
      </c>
      <c r="H106" s="3">
        <v>4</v>
      </c>
      <c r="I106" s="4">
        <f t="shared" si="17"/>
        <v>2.9433799999999977</v>
      </c>
      <c r="J106" s="4">
        <v>1.4716899999999988</v>
      </c>
      <c r="K106" s="4">
        <v>9.8179700000000008</v>
      </c>
      <c r="L106" s="3">
        <v>4</v>
      </c>
      <c r="M106" s="4">
        <f t="shared" si="18"/>
        <v>3.1404599999999974</v>
      </c>
      <c r="N106" s="4">
        <v>1.5702299999999987</v>
      </c>
      <c r="O106" s="4">
        <f t="shared" si="19"/>
        <v>2.8794272513006904E-2</v>
      </c>
      <c r="P106" s="4">
        <f t="shared" si="15"/>
        <v>4.9380219513455656E-2</v>
      </c>
      <c r="Q106" s="4" t="s">
        <v>299</v>
      </c>
      <c r="R106" s="3" t="s">
        <v>177</v>
      </c>
      <c r="S106" s="3" t="s">
        <v>221</v>
      </c>
      <c r="T106" s="3" t="s">
        <v>8</v>
      </c>
      <c r="U106" s="3" t="s">
        <v>337</v>
      </c>
      <c r="V106" s="3" t="s">
        <v>332</v>
      </c>
      <c r="W106" s="3" t="s">
        <v>360</v>
      </c>
      <c r="X106" s="3" t="s">
        <v>147</v>
      </c>
      <c r="Y106" s="3">
        <v>25</v>
      </c>
      <c r="Z106" s="3">
        <v>0</v>
      </c>
      <c r="AA106" s="3">
        <v>15</v>
      </c>
      <c r="AB106" s="11" t="s">
        <v>397</v>
      </c>
    </row>
    <row r="107" spans="1:28">
      <c r="A107" s="3" t="s">
        <v>93</v>
      </c>
      <c r="B107" s="3" t="s">
        <v>94</v>
      </c>
      <c r="C107" s="3">
        <v>10</v>
      </c>
      <c r="D107" s="3" t="s">
        <v>34</v>
      </c>
      <c r="E107" s="3">
        <v>2.7</v>
      </c>
      <c r="F107" s="3">
        <v>2001</v>
      </c>
      <c r="G107" s="4">
        <v>9.5393000000000008</v>
      </c>
      <c r="H107" s="3">
        <v>4</v>
      </c>
      <c r="I107" s="4">
        <f t="shared" si="17"/>
        <v>2.9433799999999977</v>
      </c>
      <c r="J107" s="4">
        <v>1.4716899999999988</v>
      </c>
      <c r="K107" s="4">
        <v>12.86716</v>
      </c>
      <c r="L107" s="3">
        <v>4</v>
      </c>
      <c r="M107" s="4">
        <f t="shared" si="18"/>
        <v>2.5370799999999996</v>
      </c>
      <c r="N107" s="4">
        <v>1.2685399999999998</v>
      </c>
      <c r="O107" s="4">
        <f t="shared" si="19"/>
        <v>0.29925822153050835</v>
      </c>
      <c r="P107" s="4">
        <f t="shared" si="15"/>
        <v>3.3520722129910516E-2</v>
      </c>
      <c r="Q107" s="4" t="s">
        <v>299</v>
      </c>
      <c r="R107" s="3" t="s">
        <v>177</v>
      </c>
      <c r="S107" s="3" t="s">
        <v>221</v>
      </c>
      <c r="T107" s="3" t="s">
        <v>8</v>
      </c>
      <c r="U107" s="3" t="s">
        <v>337</v>
      </c>
      <c r="V107" s="3" t="s">
        <v>332</v>
      </c>
      <c r="W107" s="3" t="s">
        <v>360</v>
      </c>
      <c r="X107" s="3" t="s">
        <v>147</v>
      </c>
      <c r="Y107" s="3">
        <v>75</v>
      </c>
      <c r="Z107" s="3">
        <v>0</v>
      </c>
      <c r="AA107" s="3">
        <v>15</v>
      </c>
      <c r="AB107" s="11" t="s">
        <v>397</v>
      </c>
    </row>
    <row r="108" spans="1:28">
      <c r="A108" s="3" t="s">
        <v>93</v>
      </c>
      <c r="B108" s="3" t="s">
        <v>94</v>
      </c>
      <c r="C108" s="3">
        <v>11</v>
      </c>
      <c r="D108" s="3" t="s">
        <v>34</v>
      </c>
      <c r="E108" s="3">
        <v>2.7</v>
      </c>
      <c r="F108" s="3">
        <v>2001</v>
      </c>
      <c r="G108" s="4">
        <v>4.3169199999999996</v>
      </c>
      <c r="H108" s="3">
        <v>4</v>
      </c>
      <c r="I108" s="4">
        <f t="shared" si="17"/>
        <v>2.8399800000000006</v>
      </c>
      <c r="J108" s="4">
        <v>1.4199900000000003</v>
      </c>
      <c r="K108" s="4">
        <v>7.0260499999999997</v>
      </c>
      <c r="L108" s="3">
        <v>4</v>
      </c>
      <c r="M108" s="4">
        <f t="shared" si="18"/>
        <v>2.9934599999999989</v>
      </c>
      <c r="N108" s="4">
        <v>1.4967299999999994</v>
      </c>
      <c r="O108" s="4">
        <f t="shared" si="19"/>
        <v>0.48708248522892733</v>
      </c>
      <c r="P108" s="4">
        <f t="shared" si="15"/>
        <v>0.15357882776738122</v>
      </c>
      <c r="Q108" s="4" t="s">
        <v>299</v>
      </c>
      <c r="R108" s="3" t="s">
        <v>177</v>
      </c>
      <c r="S108" s="3" t="s">
        <v>221</v>
      </c>
      <c r="T108" s="3" t="s">
        <v>8</v>
      </c>
      <c r="U108" s="3" t="s">
        <v>337</v>
      </c>
      <c r="V108" s="3" t="s">
        <v>332</v>
      </c>
      <c r="W108" s="3" t="s">
        <v>360</v>
      </c>
      <c r="X108" s="3" t="s">
        <v>147</v>
      </c>
      <c r="Y108" s="3">
        <v>25</v>
      </c>
      <c r="Z108" s="3">
        <v>0</v>
      </c>
      <c r="AA108" s="3">
        <v>15</v>
      </c>
      <c r="AB108" s="11" t="s">
        <v>397</v>
      </c>
    </row>
    <row r="109" spans="1:28">
      <c r="A109" s="3" t="s">
        <v>93</v>
      </c>
      <c r="B109" s="3" t="s">
        <v>94</v>
      </c>
      <c r="C109" s="3">
        <v>12</v>
      </c>
      <c r="D109" s="3" t="s">
        <v>34</v>
      </c>
      <c r="E109" s="3">
        <v>2.7</v>
      </c>
      <c r="F109" s="3">
        <v>2001</v>
      </c>
      <c r="G109" s="4">
        <v>4.3169199999999996</v>
      </c>
      <c r="H109" s="3">
        <v>4</v>
      </c>
      <c r="I109" s="4">
        <f t="shared" si="17"/>
        <v>2.8399800000000006</v>
      </c>
      <c r="J109" s="4">
        <v>1.4199900000000003</v>
      </c>
      <c r="K109" s="4">
        <v>6.5616000000000003</v>
      </c>
      <c r="L109" s="3">
        <v>4</v>
      </c>
      <c r="M109" s="4">
        <f t="shared" si="18"/>
        <v>2.5298199999999991</v>
      </c>
      <c r="N109" s="4">
        <v>1.2649099999999995</v>
      </c>
      <c r="O109" s="4">
        <f t="shared" si="19"/>
        <v>0.41869229064156332</v>
      </c>
      <c r="P109" s="4">
        <f t="shared" si="15"/>
        <v>0.1453608888316823</v>
      </c>
      <c r="Q109" s="4" t="s">
        <v>299</v>
      </c>
      <c r="R109" s="3" t="s">
        <v>177</v>
      </c>
      <c r="S109" s="3" t="s">
        <v>221</v>
      </c>
      <c r="T109" s="3" t="s">
        <v>8</v>
      </c>
      <c r="U109" s="3" t="s">
        <v>337</v>
      </c>
      <c r="V109" s="3" t="s">
        <v>332</v>
      </c>
      <c r="W109" s="3" t="s">
        <v>360</v>
      </c>
      <c r="X109" s="3" t="s">
        <v>147</v>
      </c>
      <c r="Y109" s="3">
        <v>75</v>
      </c>
      <c r="Z109" s="3">
        <v>0</v>
      </c>
      <c r="AA109" s="3">
        <v>15</v>
      </c>
      <c r="AB109" s="11" t="s">
        <v>397</v>
      </c>
    </row>
    <row r="110" spans="1:28">
      <c r="A110" s="3" t="s">
        <v>93</v>
      </c>
      <c r="B110" s="3" t="s">
        <v>94</v>
      </c>
      <c r="C110" s="3">
        <v>13</v>
      </c>
      <c r="D110" s="3" t="s">
        <v>34</v>
      </c>
      <c r="E110" s="3">
        <v>2.7</v>
      </c>
      <c r="F110" s="3">
        <v>2001</v>
      </c>
      <c r="G110" s="4">
        <v>4.0903499999999999</v>
      </c>
      <c r="H110" s="3">
        <v>4</v>
      </c>
      <c r="I110" s="4">
        <f t="shared" si="17"/>
        <v>2.6857000000000006</v>
      </c>
      <c r="J110" s="4">
        <v>1.3428500000000003</v>
      </c>
      <c r="K110" s="4">
        <v>4.3015699999999999</v>
      </c>
      <c r="L110" s="3">
        <v>4</v>
      </c>
      <c r="M110" s="4">
        <f t="shared" si="18"/>
        <v>2.8949200000000008</v>
      </c>
      <c r="N110" s="4">
        <v>1.4474600000000004</v>
      </c>
      <c r="O110" s="4">
        <f t="shared" si="19"/>
        <v>5.0349531374315311E-2</v>
      </c>
      <c r="P110" s="4">
        <f t="shared" si="15"/>
        <v>0.22100836508675631</v>
      </c>
      <c r="Q110" s="4" t="s">
        <v>299</v>
      </c>
      <c r="R110" s="3" t="s">
        <v>177</v>
      </c>
      <c r="S110" s="3" t="s">
        <v>221</v>
      </c>
      <c r="T110" s="3" t="s">
        <v>8</v>
      </c>
      <c r="U110" s="3" t="s">
        <v>337</v>
      </c>
      <c r="V110" s="3" t="s">
        <v>332</v>
      </c>
      <c r="W110" s="3" t="s">
        <v>360</v>
      </c>
      <c r="X110" s="3" t="s">
        <v>147</v>
      </c>
      <c r="Y110" s="3">
        <v>25</v>
      </c>
      <c r="Z110" s="3">
        <v>0</v>
      </c>
      <c r="AA110" s="3">
        <v>15</v>
      </c>
      <c r="AB110" s="11" t="s">
        <v>397</v>
      </c>
    </row>
    <row r="111" spans="1:28">
      <c r="A111" s="3" t="s">
        <v>93</v>
      </c>
      <c r="B111" s="3" t="s">
        <v>94</v>
      </c>
      <c r="C111" s="3">
        <v>14</v>
      </c>
      <c r="D111" s="3" t="s">
        <v>34</v>
      </c>
      <c r="E111" s="3">
        <v>2.7</v>
      </c>
      <c r="F111" s="3">
        <v>2001</v>
      </c>
      <c r="G111" s="4">
        <v>4.0903499999999999</v>
      </c>
      <c r="H111" s="3">
        <v>4</v>
      </c>
      <c r="I111" s="4">
        <f t="shared" si="17"/>
        <v>2.6857000000000006</v>
      </c>
      <c r="J111" s="4">
        <v>1.3428500000000003</v>
      </c>
      <c r="K111" s="4">
        <v>6.1012000000000004</v>
      </c>
      <c r="L111" s="3">
        <v>4</v>
      </c>
      <c r="M111" s="4">
        <f t="shared" si="18"/>
        <v>2.6453199999999999</v>
      </c>
      <c r="N111" s="4">
        <v>1.3226599999999999</v>
      </c>
      <c r="O111" s="4">
        <f t="shared" si="19"/>
        <v>0.39985493217809853</v>
      </c>
      <c r="P111" s="4">
        <f t="shared" si="15"/>
        <v>0.15477552233114969</v>
      </c>
      <c r="Q111" s="4" t="s">
        <v>299</v>
      </c>
      <c r="R111" s="3" t="s">
        <v>177</v>
      </c>
      <c r="S111" s="3" t="s">
        <v>221</v>
      </c>
      <c r="T111" s="3" t="s">
        <v>8</v>
      </c>
      <c r="U111" s="3" t="s">
        <v>337</v>
      </c>
      <c r="V111" s="3" t="s">
        <v>332</v>
      </c>
      <c r="W111" s="3" t="s">
        <v>360</v>
      </c>
      <c r="X111" s="3" t="s">
        <v>147</v>
      </c>
      <c r="Y111" s="3">
        <v>75</v>
      </c>
      <c r="Z111" s="3">
        <v>0</v>
      </c>
      <c r="AA111" s="3">
        <v>15</v>
      </c>
      <c r="AB111" s="11" t="s">
        <v>397</v>
      </c>
    </row>
    <row r="112" spans="1:28">
      <c r="A112" s="3" t="s">
        <v>93</v>
      </c>
      <c r="B112" s="3" t="s">
        <v>94</v>
      </c>
      <c r="C112" s="3">
        <v>15</v>
      </c>
      <c r="D112" s="3" t="s">
        <v>34</v>
      </c>
      <c r="E112" s="3">
        <v>2.7</v>
      </c>
      <c r="F112" s="3">
        <v>2001</v>
      </c>
      <c r="G112" s="4">
        <v>1.37476</v>
      </c>
      <c r="H112" s="3">
        <v>4</v>
      </c>
      <c r="I112" s="4">
        <f t="shared" si="17"/>
        <v>2.7737399999999997</v>
      </c>
      <c r="J112" s="4">
        <v>1.3868699999999998</v>
      </c>
      <c r="K112" s="4">
        <v>1.76085</v>
      </c>
      <c r="L112" s="3">
        <v>4</v>
      </c>
      <c r="M112" s="4">
        <f t="shared" si="18"/>
        <v>3.0314199999999998</v>
      </c>
      <c r="N112" s="4">
        <v>1.5157099999999999</v>
      </c>
      <c r="O112" s="4">
        <f t="shared" si="19"/>
        <v>0.24751747658134526</v>
      </c>
      <c r="P112" s="4">
        <f t="shared" si="15"/>
        <v>1.7586428375307372</v>
      </c>
      <c r="Q112" s="4" t="s">
        <v>299</v>
      </c>
      <c r="R112" s="3" t="s">
        <v>177</v>
      </c>
      <c r="S112" s="3" t="s">
        <v>221</v>
      </c>
      <c r="T112" s="3" t="s">
        <v>8</v>
      </c>
      <c r="U112" s="3" t="s">
        <v>337</v>
      </c>
      <c r="V112" s="3" t="s">
        <v>332</v>
      </c>
      <c r="W112" s="3" t="s">
        <v>360</v>
      </c>
      <c r="X112" s="3" t="s">
        <v>147</v>
      </c>
      <c r="Y112" s="3">
        <v>25</v>
      </c>
      <c r="Z112" s="3">
        <v>0</v>
      </c>
      <c r="AA112" s="3">
        <v>15</v>
      </c>
      <c r="AB112" s="11" t="s">
        <v>397</v>
      </c>
    </row>
    <row r="113" spans="1:28">
      <c r="A113" s="3" t="s">
        <v>93</v>
      </c>
      <c r="B113" s="3" t="s">
        <v>94</v>
      </c>
      <c r="C113" s="3">
        <v>16</v>
      </c>
      <c r="D113" s="3" t="s">
        <v>34</v>
      </c>
      <c r="E113" s="3">
        <v>2.7</v>
      </c>
      <c r="F113" s="3">
        <v>2001</v>
      </c>
      <c r="G113" s="4">
        <v>1.37476</v>
      </c>
      <c r="H113" s="3">
        <v>4</v>
      </c>
      <c r="I113" s="4">
        <f t="shared" si="17"/>
        <v>2.7737399999999997</v>
      </c>
      <c r="J113" s="4">
        <v>1.3868699999999998</v>
      </c>
      <c r="K113" s="4">
        <v>2.2943600000000002</v>
      </c>
      <c r="L113" s="3">
        <v>4</v>
      </c>
      <c r="M113" s="4">
        <f t="shared" si="18"/>
        <v>2.6348199999999995</v>
      </c>
      <c r="N113" s="4">
        <v>1.3174099999999997</v>
      </c>
      <c r="O113" s="4">
        <f t="shared" si="19"/>
        <v>0.51217476709029275</v>
      </c>
      <c r="P113" s="4">
        <f t="shared" si="15"/>
        <v>1.3473950935722139</v>
      </c>
      <c r="Q113" s="4" t="s">
        <v>299</v>
      </c>
      <c r="R113" s="3" t="s">
        <v>177</v>
      </c>
      <c r="S113" s="3" t="s">
        <v>221</v>
      </c>
      <c r="T113" s="3" t="s">
        <v>8</v>
      </c>
      <c r="U113" s="3" t="s">
        <v>337</v>
      </c>
      <c r="V113" s="3" t="s">
        <v>332</v>
      </c>
      <c r="W113" s="3" t="s">
        <v>360</v>
      </c>
      <c r="X113" s="3" t="s">
        <v>147</v>
      </c>
      <c r="Y113" s="3">
        <v>75</v>
      </c>
      <c r="Z113" s="3">
        <v>0</v>
      </c>
      <c r="AA113" s="3">
        <v>15</v>
      </c>
      <c r="AB113" s="11" t="s">
        <v>397</v>
      </c>
    </row>
    <row r="114" spans="1:28">
      <c r="A114" s="3" t="s">
        <v>63</v>
      </c>
      <c r="B114" s="3" t="s">
        <v>64</v>
      </c>
      <c r="C114" s="3">
        <v>1</v>
      </c>
      <c r="D114" s="3" t="s">
        <v>151</v>
      </c>
      <c r="E114" s="3">
        <v>2.8</v>
      </c>
      <c r="F114" s="3">
        <v>2001</v>
      </c>
      <c r="G114" s="4">
        <v>0.66246000000000005</v>
      </c>
      <c r="H114" s="3">
        <v>6</v>
      </c>
      <c r="I114" s="4">
        <f t="shared" si="17"/>
        <v>0.23044799500104124</v>
      </c>
      <c r="J114" s="4">
        <v>9.4079999999999941E-2</v>
      </c>
      <c r="K114" s="4">
        <v>0.69972000000000001</v>
      </c>
      <c r="L114" s="3">
        <v>6</v>
      </c>
      <c r="M114" s="4">
        <f t="shared" si="18"/>
        <v>0.20945586790538948</v>
      </c>
      <c r="N114" s="4">
        <v>8.5509999999999975E-2</v>
      </c>
      <c r="O114" s="4">
        <f t="shared" si="19"/>
        <v>5.4720076342964337E-2</v>
      </c>
      <c r="P114" s="4">
        <f t="shared" si="15"/>
        <v>3.5102891442311393E-2</v>
      </c>
      <c r="Q114" s="4" t="s">
        <v>292</v>
      </c>
      <c r="R114" s="3" t="s">
        <v>173</v>
      </c>
      <c r="S114" s="3" t="s">
        <v>221</v>
      </c>
      <c r="T114" s="3" t="s">
        <v>8</v>
      </c>
      <c r="U114" s="3" t="s">
        <v>335</v>
      </c>
      <c r="V114" s="3" t="s">
        <v>332</v>
      </c>
      <c r="W114" s="3" t="s">
        <v>112</v>
      </c>
      <c r="X114" s="3" t="s">
        <v>98</v>
      </c>
      <c r="Y114" s="3">
        <v>20</v>
      </c>
      <c r="Z114" s="3">
        <v>8.5</v>
      </c>
      <c r="AA114" s="3">
        <v>28.5</v>
      </c>
      <c r="AB114" s="11" t="s">
        <v>397</v>
      </c>
    </row>
    <row r="115" spans="1:28">
      <c r="A115" s="3" t="s">
        <v>63</v>
      </c>
      <c r="B115" s="3" t="s">
        <v>64</v>
      </c>
      <c r="C115" s="3">
        <v>2</v>
      </c>
      <c r="D115" s="3" t="s">
        <v>151</v>
      </c>
      <c r="E115" s="3">
        <v>2.8</v>
      </c>
      <c r="F115" s="3">
        <v>2001</v>
      </c>
      <c r="G115" s="4">
        <v>1.7266699999999999</v>
      </c>
      <c r="H115" s="3">
        <v>6</v>
      </c>
      <c r="I115" s="4">
        <f t="shared" si="17"/>
        <v>0.46581946438507738</v>
      </c>
      <c r="J115" s="4">
        <v>0.19017000000000017</v>
      </c>
      <c r="K115" s="4">
        <v>1.10476</v>
      </c>
      <c r="L115" s="3">
        <v>6</v>
      </c>
      <c r="M115" s="4">
        <f t="shared" si="18"/>
        <v>0.69935381646202499</v>
      </c>
      <c r="N115" s="4">
        <v>0.28550999999999993</v>
      </c>
      <c r="O115" s="4">
        <f t="shared" si="19"/>
        <v>-0.44656658129392518</v>
      </c>
      <c r="P115" s="4">
        <f t="shared" si="15"/>
        <v>7.8919406945728229E-2</v>
      </c>
      <c r="Q115" s="4" t="s">
        <v>292</v>
      </c>
      <c r="R115" s="3" t="s">
        <v>173</v>
      </c>
      <c r="S115" s="3" t="s">
        <v>221</v>
      </c>
      <c r="T115" s="3" t="s">
        <v>8</v>
      </c>
      <c r="U115" s="3" t="s">
        <v>335</v>
      </c>
      <c r="V115" s="3" t="s">
        <v>332</v>
      </c>
      <c r="W115" s="3" t="s">
        <v>112</v>
      </c>
      <c r="X115" s="3" t="s">
        <v>98</v>
      </c>
      <c r="Y115" s="3">
        <v>20</v>
      </c>
      <c r="Z115" s="3">
        <v>8.5</v>
      </c>
      <c r="AA115" s="3">
        <v>98.5</v>
      </c>
      <c r="AB115" s="11" t="s">
        <v>397</v>
      </c>
    </row>
    <row r="116" spans="1:28">
      <c r="A116" s="3" t="s">
        <v>63</v>
      </c>
      <c r="B116" s="3" t="s">
        <v>64</v>
      </c>
      <c r="C116" s="3">
        <v>3</v>
      </c>
      <c r="D116" s="3" t="s">
        <v>151</v>
      </c>
      <c r="E116" s="3">
        <v>2.8</v>
      </c>
      <c r="F116" s="3">
        <v>2001</v>
      </c>
      <c r="G116" s="4">
        <v>1.76224</v>
      </c>
      <c r="H116" s="3">
        <v>6</v>
      </c>
      <c r="I116" s="4">
        <f t="shared" si="17"/>
        <v>0.95782397412050602</v>
      </c>
      <c r="J116" s="4">
        <v>0.39102999999999999</v>
      </c>
      <c r="K116" s="4">
        <v>2.56826</v>
      </c>
      <c r="L116" s="3">
        <v>6</v>
      </c>
      <c r="M116" s="4">
        <f t="shared" si="18"/>
        <v>1.3120446858243811</v>
      </c>
      <c r="N116" s="4">
        <v>0.53563999999999989</v>
      </c>
      <c r="O116" s="4">
        <f t="shared" si="19"/>
        <v>0.37664289971661302</v>
      </c>
      <c r="P116" s="4">
        <f t="shared" si="15"/>
        <v>9.2734699334507287E-2</v>
      </c>
      <c r="Q116" s="4" t="s">
        <v>292</v>
      </c>
      <c r="R116" s="3" t="s">
        <v>173</v>
      </c>
      <c r="S116" s="3" t="s">
        <v>221</v>
      </c>
      <c r="T116" s="3" t="s">
        <v>8</v>
      </c>
      <c r="U116" s="3" t="s">
        <v>335</v>
      </c>
      <c r="V116" s="3" t="s">
        <v>332</v>
      </c>
      <c r="W116" s="3" t="s">
        <v>112</v>
      </c>
      <c r="X116" s="3" t="s">
        <v>98</v>
      </c>
      <c r="Y116" s="3">
        <v>20</v>
      </c>
      <c r="Z116" s="3">
        <v>8.5</v>
      </c>
      <c r="AA116" s="3">
        <v>28.5</v>
      </c>
      <c r="AB116" s="11" t="s">
        <v>397</v>
      </c>
    </row>
    <row r="117" spans="1:28">
      <c r="A117" s="3" t="s">
        <v>63</v>
      </c>
      <c r="B117" s="3" t="s">
        <v>64</v>
      </c>
      <c r="C117" s="3">
        <v>4</v>
      </c>
      <c r="D117" s="3" t="s">
        <v>151</v>
      </c>
      <c r="E117" s="3">
        <v>2.8</v>
      </c>
      <c r="F117" s="3">
        <v>2001</v>
      </c>
      <c r="G117" s="4">
        <v>2.9744700000000002</v>
      </c>
      <c r="H117" s="3">
        <v>6</v>
      </c>
      <c r="I117" s="4">
        <f t="shared" si="17"/>
        <v>0.53362134046531495</v>
      </c>
      <c r="J117" s="4">
        <v>0.21784999999999988</v>
      </c>
      <c r="K117" s="4">
        <v>4.0729699999999998</v>
      </c>
      <c r="L117" s="3">
        <v>6</v>
      </c>
      <c r="M117" s="4">
        <f t="shared" si="18"/>
        <v>1.9663768808140534</v>
      </c>
      <c r="N117" s="4">
        <v>0.80277000000000065</v>
      </c>
      <c r="O117" s="4">
        <f t="shared" si="19"/>
        <v>0.31430659119468335</v>
      </c>
      <c r="P117" s="4">
        <f t="shared" si="15"/>
        <v>4.4211299738638875E-2</v>
      </c>
      <c r="Q117" s="4" t="s">
        <v>292</v>
      </c>
      <c r="R117" s="3" t="s">
        <v>173</v>
      </c>
      <c r="S117" s="3" t="s">
        <v>221</v>
      </c>
      <c r="T117" s="3" t="s">
        <v>8</v>
      </c>
      <c r="U117" s="3" t="s">
        <v>335</v>
      </c>
      <c r="V117" s="3" t="s">
        <v>332</v>
      </c>
      <c r="W117" s="3" t="s">
        <v>112</v>
      </c>
      <c r="X117" s="3" t="s">
        <v>98</v>
      </c>
      <c r="Y117" s="3">
        <v>20</v>
      </c>
      <c r="Z117" s="3">
        <v>8.5</v>
      </c>
      <c r="AA117" s="3">
        <v>98.5</v>
      </c>
      <c r="AB117" s="11" t="s">
        <v>397</v>
      </c>
    </row>
    <row r="118" spans="1:28" ht="17">
      <c r="A118" s="5" t="s">
        <v>65</v>
      </c>
      <c r="B118" s="3" t="s">
        <v>391</v>
      </c>
      <c r="C118" s="3">
        <v>1</v>
      </c>
      <c r="D118" s="3" t="s">
        <v>152</v>
      </c>
      <c r="E118" s="3">
        <v>3.1</v>
      </c>
      <c r="F118" s="3">
        <v>2023</v>
      </c>
      <c r="G118" s="4">
        <v>9.9431428571428579</v>
      </c>
      <c r="H118" s="3">
        <v>7</v>
      </c>
      <c r="I118" s="4">
        <v>3.5871447526118141</v>
      </c>
      <c r="J118" s="4">
        <f t="shared" ref="J118:J123" si="20">I118 / SQRT(H118)</f>
        <v>1.3558132760287389</v>
      </c>
      <c r="K118" s="4">
        <v>15.964857142857143</v>
      </c>
      <c r="L118" s="3">
        <v>7</v>
      </c>
      <c r="M118" s="4">
        <v>4.502028225462066</v>
      </c>
      <c r="N118" s="4">
        <f t="shared" ref="N118:N123" si="21">M118 / SQRT(L118)</f>
        <v>1.7016067257094361</v>
      </c>
      <c r="O118" s="4">
        <f t="shared" si="19"/>
        <v>0.47350672447682929</v>
      </c>
      <c r="P118" s="4">
        <f t="shared" si="15"/>
        <v>2.9953386838225196E-2</v>
      </c>
      <c r="Q118" s="4" t="s">
        <v>297</v>
      </c>
      <c r="R118" s="3" t="s">
        <v>275</v>
      </c>
      <c r="S118" s="3" t="s">
        <v>222</v>
      </c>
      <c r="T118" s="3" t="s">
        <v>97</v>
      </c>
      <c r="U118" s="3" t="s">
        <v>337</v>
      </c>
      <c r="V118" s="3" t="s">
        <v>332</v>
      </c>
      <c r="W118" s="3" t="s">
        <v>112</v>
      </c>
      <c r="X118" s="3" t="s">
        <v>98</v>
      </c>
      <c r="Y118" s="3" t="s">
        <v>363</v>
      </c>
      <c r="Z118" s="3">
        <v>90</v>
      </c>
      <c r="AA118" s="3">
        <v>0</v>
      </c>
      <c r="AB118" s="11" t="s">
        <v>397</v>
      </c>
    </row>
    <row r="119" spans="1:28" ht="17">
      <c r="A119" s="5" t="s">
        <v>65</v>
      </c>
      <c r="B119" s="3" t="s">
        <v>391</v>
      </c>
      <c r="C119" s="3">
        <v>2</v>
      </c>
      <c r="D119" s="3" t="s">
        <v>152</v>
      </c>
      <c r="E119" s="3">
        <v>3.1</v>
      </c>
      <c r="F119" s="3">
        <v>2023</v>
      </c>
      <c r="G119" s="4">
        <v>9.9431428571428579</v>
      </c>
      <c r="H119" s="3">
        <v>7</v>
      </c>
      <c r="I119" s="4">
        <v>3.5871447526118141</v>
      </c>
      <c r="J119" s="4">
        <f t="shared" si="20"/>
        <v>1.3558132760287389</v>
      </c>
      <c r="K119" s="4">
        <v>21.373714285714282</v>
      </c>
      <c r="L119" s="3">
        <v>7</v>
      </c>
      <c r="M119" s="4">
        <v>2.6254022367557335</v>
      </c>
      <c r="N119" s="4">
        <f t="shared" si="21"/>
        <v>0.9923087728526272</v>
      </c>
      <c r="O119" s="4">
        <f t="shared" si="19"/>
        <v>0.76527870913339313</v>
      </c>
      <c r="P119" s="4">
        <f t="shared" si="15"/>
        <v>2.0748554435477032E-2</v>
      </c>
      <c r="Q119" s="4" t="s">
        <v>297</v>
      </c>
      <c r="R119" s="3" t="s">
        <v>275</v>
      </c>
      <c r="S119" s="3" t="s">
        <v>222</v>
      </c>
      <c r="T119" s="3" t="s">
        <v>97</v>
      </c>
      <c r="U119" s="3" t="s">
        <v>337</v>
      </c>
      <c r="V119" s="3" t="s">
        <v>332</v>
      </c>
      <c r="W119" s="3" t="s">
        <v>112</v>
      </c>
      <c r="X119" s="3" t="s">
        <v>99</v>
      </c>
      <c r="Y119" s="3" t="s">
        <v>363</v>
      </c>
      <c r="Z119" s="3">
        <v>90</v>
      </c>
      <c r="AA119" s="3">
        <v>0</v>
      </c>
      <c r="AB119" s="11" t="s">
        <v>397</v>
      </c>
    </row>
    <row r="120" spans="1:28" ht="17">
      <c r="A120" s="5" t="s">
        <v>65</v>
      </c>
      <c r="B120" s="3" t="s">
        <v>391</v>
      </c>
      <c r="C120" s="3">
        <v>3</v>
      </c>
      <c r="D120" s="3" t="s">
        <v>152</v>
      </c>
      <c r="E120" s="3">
        <v>3.1</v>
      </c>
      <c r="F120" s="3">
        <v>2023</v>
      </c>
      <c r="G120" s="4">
        <v>10.066285714285714</v>
      </c>
      <c r="H120" s="3">
        <v>7</v>
      </c>
      <c r="I120" s="4">
        <v>2.5554184076380233</v>
      </c>
      <c r="J120" s="4">
        <f t="shared" si="20"/>
        <v>0.96585737176098407</v>
      </c>
      <c r="K120" s="4">
        <v>13.676714285714286</v>
      </c>
      <c r="L120" s="3">
        <v>7</v>
      </c>
      <c r="M120" s="4">
        <v>2.0780749677113661</v>
      </c>
      <c r="N120" s="4">
        <f t="shared" si="21"/>
        <v>0.78543851004469334</v>
      </c>
      <c r="O120" s="4">
        <f t="shared" si="19"/>
        <v>0.30650290750794107</v>
      </c>
      <c r="P120" s="4">
        <f t="shared" si="15"/>
        <v>1.2504427538294323E-2</v>
      </c>
      <c r="Q120" s="4" t="s">
        <v>297</v>
      </c>
      <c r="R120" s="3" t="s">
        <v>115</v>
      </c>
      <c r="S120" s="3" t="s">
        <v>222</v>
      </c>
      <c r="T120" s="3" t="s">
        <v>97</v>
      </c>
      <c r="U120" s="3" t="s">
        <v>337</v>
      </c>
      <c r="V120" s="3" t="s">
        <v>332</v>
      </c>
      <c r="W120" s="3" t="s">
        <v>112</v>
      </c>
      <c r="X120" s="3" t="s">
        <v>98</v>
      </c>
      <c r="Y120" s="3" t="s">
        <v>363</v>
      </c>
      <c r="Z120" s="3">
        <v>90</v>
      </c>
      <c r="AA120" s="3">
        <v>0</v>
      </c>
      <c r="AB120" s="11" t="s">
        <v>397</v>
      </c>
    </row>
    <row r="121" spans="1:28" ht="17">
      <c r="A121" s="5" t="s">
        <v>65</v>
      </c>
      <c r="B121" s="3" t="s">
        <v>391</v>
      </c>
      <c r="C121" s="3">
        <v>4</v>
      </c>
      <c r="D121" s="3" t="s">
        <v>152</v>
      </c>
      <c r="E121" s="3">
        <v>3.1</v>
      </c>
      <c r="F121" s="3">
        <v>2023</v>
      </c>
      <c r="G121" s="4">
        <v>10.066285714285714</v>
      </c>
      <c r="H121" s="3">
        <v>7</v>
      </c>
      <c r="I121" s="4">
        <v>2.5554184076380233</v>
      </c>
      <c r="J121" s="4">
        <f t="shared" si="20"/>
        <v>0.96585737176098407</v>
      </c>
      <c r="K121" s="4">
        <v>13.578742857142856</v>
      </c>
      <c r="L121" s="3">
        <v>7</v>
      </c>
      <c r="M121" s="4">
        <v>2.6619925806665599</v>
      </c>
      <c r="N121" s="4">
        <f t="shared" si="21"/>
        <v>1.0061386229061091</v>
      </c>
      <c r="O121" s="4">
        <f t="shared" si="19"/>
        <v>0.29931375268877475</v>
      </c>
      <c r="P121" s="4">
        <f t="shared" si="15"/>
        <v>1.4696655747994E-2</v>
      </c>
      <c r="Q121" s="4" t="s">
        <v>297</v>
      </c>
      <c r="R121" s="3" t="s">
        <v>115</v>
      </c>
      <c r="S121" s="3" t="s">
        <v>222</v>
      </c>
      <c r="T121" s="3" t="s">
        <v>97</v>
      </c>
      <c r="U121" s="3" t="s">
        <v>337</v>
      </c>
      <c r="V121" s="3" t="s">
        <v>332</v>
      </c>
      <c r="W121" s="3" t="s">
        <v>112</v>
      </c>
      <c r="X121" s="3" t="s">
        <v>99</v>
      </c>
      <c r="Y121" s="3" t="s">
        <v>363</v>
      </c>
      <c r="Z121" s="3">
        <v>90</v>
      </c>
      <c r="AA121" s="3">
        <v>0</v>
      </c>
      <c r="AB121" s="11" t="s">
        <v>397</v>
      </c>
    </row>
    <row r="122" spans="1:28" ht="17">
      <c r="A122" s="5" t="s">
        <v>65</v>
      </c>
      <c r="B122" s="3" t="s">
        <v>391</v>
      </c>
      <c r="C122" s="3">
        <v>5</v>
      </c>
      <c r="D122" s="3" t="s">
        <v>152</v>
      </c>
      <c r="E122" s="3">
        <v>3.1</v>
      </c>
      <c r="F122" s="3">
        <v>2023</v>
      </c>
      <c r="G122" s="4">
        <v>6.5567142857142855</v>
      </c>
      <c r="H122" s="3">
        <v>7</v>
      </c>
      <c r="I122" s="4">
        <v>1.6238382220617227</v>
      </c>
      <c r="J122" s="4">
        <f t="shared" si="20"/>
        <v>0.61375315785379947</v>
      </c>
      <c r="K122" s="4">
        <v>11.16642857142857</v>
      </c>
      <c r="L122" s="3">
        <v>7</v>
      </c>
      <c r="M122" s="4">
        <v>2.3957016270216784</v>
      </c>
      <c r="N122" s="4">
        <f t="shared" si="21"/>
        <v>0.90549010294459686</v>
      </c>
      <c r="O122" s="4">
        <f t="shared" si="19"/>
        <v>0.53242222157593599</v>
      </c>
      <c r="P122" s="4">
        <f t="shared" si="15"/>
        <v>1.5337888443155678E-2</v>
      </c>
      <c r="Q122" s="4" t="s">
        <v>297</v>
      </c>
      <c r="R122" s="3" t="s">
        <v>115</v>
      </c>
      <c r="S122" s="3" t="s">
        <v>222</v>
      </c>
      <c r="T122" s="3" t="s">
        <v>97</v>
      </c>
      <c r="U122" s="3" t="s">
        <v>337</v>
      </c>
      <c r="V122" s="3" t="s">
        <v>332</v>
      </c>
      <c r="W122" s="3" t="s">
        <v>112</v>
      </c>
      <c r="X122" s="3" t="s">
        <v>98</v>
      </c>
      <c r="Y122" s="3" t="s">
        <v>363</v>
      </c>
      <c r="Z122" s="3">
        <v>90</v>
      </c>
      <c r="AA122" s="3">
        <v>0</v>
      </c>
      <c r="AB122" s="11" t="s">
        <v>397</v>
      </c>
    </row>
    <row r="123" spans="1:28" ht="17">
      <c r="A123" s="5" t="s">
        <v>65</v>
      </c>
      <c r="B123" s="3" t="s">
        <v>391</v>
      </c>
      <c r="C123" s="3">
        <v>6</v>
      </c>
      <c r="D123" s="3" t="s">
        <v>152</v>
      </c>
      <c r="E123" s="3">
        <v>3.1</v>
      </c>
      <c r="F123" s="3">
        <v>2023</v>
      </c>
      <c r="G123" s="4">
        <v>6.5567142857142855</v>
      </c>
      <c r="H123" s="3">
        <v>7</v>
      </c>
      <c r="I123" s="4">
        <v>1.6238382220617227</v>
      </c>
      <c r="J123" s="4">
        <f t="shared" si="20"/>
        <v>0.61375315785379947</v>
      </c>
      <c r="K123" s="4">
        <v>21.234285714285715</v>
      </c>
      <c r="L123" s="3">
        <v>7</v>
      </c>
      <c r="M123" s="4">
        <v>4.1386293107052392</v>
      </c>
      <c r="N123" s="4">
        <f t="shared" si="21"/>
        <v>1.5642548464012469</v>
      </c>
      <c r="O123" s="4">
        <f t="shared" si="19"/>
        <v>1.1751275196121769</v>
      </c>
      <c r="P123" s="4">
        <f t="shared" si="15"/>
        <v>1.4188984919184033E-2</v>
      </c>
      <c r="Q123" s="4" t="s">
        <v>297</v>
      </c>
      <c r="R123" s="3" t="s">
        <v>115</v>
      </c>
      <c r="S123" s="3" t="s">
        <v>222</v>
      </c>
      <c r="T123" s="3" t="s">
        <v>97</v>
      </c>
      <c r="U123" s="3" t="s">
        <v>337</v>
      </c>
      <c r="V123" s="3" t="s">
        <v>332</v>
      </c>
      <c r="W123" s="3" t="s">
        <v>112</v>
      </c>
      <c r="X123" s="3" t="s">
        <v>99</v>
      </c>
      <c r="Y123" s="3" t="s">
        <v>363</v>
      </c>
      <c r="Z123" s="3">
        <v>90</v>
      </c>
      <c r="AA123" s="3">
        <v>0</v>
      </c>
      <c r="AB123" s="11" t="s">
        <v>397</v>
      </c>
    </row>
    <row r="124" spans="1:28">
      <c r="A124" s="3" t="s">
        <v>66</v>
      </c>
      <c r="B124" s="3" t="s">
        <v>67</v>
      </c>
      <c r="C124" s="3">
        <v>1</v>
      </c>
      <c r="D124" s="3" t="s">
        <v>34</v>
      </c>
      <c r="E124" s="3">
        <v>2.7</v>
      </c>
      <c r="F124" s="3">
        <v>1998</v>
      </c>
      <c r="G124" s="4">
        <v>0.84909000000000001</v>
      </c>
      <c r="H124" s="3">
        <v>8</v>
      </c>
      <c r="I124" s="4">
        <f t="shared" ref="I124:I160" si="22" xml:space="preserve"> J124 * SQRT(H124)</f>
        <v>0.20797424648258733</v>
      </c>
      <c r="J124" s="4">
        <v>7.3529999999999984E-2</v>
      </c>
      <c r="K124" s="4">
        <v>0.79217000000000004</v>
      </c>
      <c r="L124" s="3">
        <v>8</v>
      </c>
      <c r="M124" s="4">
        <f t="shared" ref="M124:M160" si="23" xml:space="preserve"> N124 * SQRT(L124)</f>
        <v>0.45738495034270615</v>
      </c>
      <c r="N124" s="4">
        <v>0.16170999999999991</v>
      </c>
      <c r="O124" s="4">
        <f t="shared" si="19"/>
        <v>-6.9389172514317088E-2</v>
      </c>
      <c r="P124" s="4">
        <f t="shared" si="15"/>
        <v>4.9170608996104578E-2</v>
      </c>
      <c r="Q124" s="4" t="s">
        <v>299</v>
      </c>
      <c r="R124" s="3" t="s">
        <v>177</v>
      </c>
      <c r="S124" s="3" t="s">
        <v>221</v>
      </c>
      <c r="T124" s="3" t="s">
        <v>8</v>
      </c>
      <c r="U124" s="3" t="s">
        <v>335</v>
      </c>
      <c r="V124" s="3" t="s">
        <v>332</v>
      </c>
      <c r="W124" s="3" t="s">
        <v>360</v>
      </c>
      <c r="X124" s="3" t="s">
        <v>147</v>
      </c>
      <c r="Y124" s="3">
        <v>50</v>
      </c>
      <c r="Z124" s="3">
        <v>0</v>
      </c>
      <c r="AA124" s="3">
        <v>6</v>
      </c>
      <c r="AB124" s="11" t="s">
        <v>397</v>
      </c>
    </row>
    <row r="125" spans="1:28">
      <c r="A125" s="3" t="s">
        <v>66</v>
      </c>
      <c r="B125" s="3" t="s">
        <v>67</v>
      </c>
      <c r="C125" s="3">
        <v>2</v>
      </c>
      <c r="D125" s="3" t="s">
        <v>34</v>
      </c>
      <c r="E125" s="3">
        <v>2.7</v>
      </c>
      <c r="F125" s="3">
        <v>1998</v>
      </c>
      <c r="G125" s="4">
        <v>1.14297</v>
      </c>
      <c r="H125" s="3">
        <v>8</v>
      </c>
      <c r="I125" s="4">
        <f t="shared" si="22"/>
        <v>1.0920839971357514</v>
      </c>
      <c r="J125" s="4">
        <v>0.38610999999999995</v>
      </c>
      <c r="K125" s="4">
        <v>1.2331300000000001</v>
      </c>
      <c r="L125" s="3">
        <v>8</v>
      </c>
      <c r="M125" s="4">
        <f t="shared" si="23"/>
        <v>1.0216844460008185</v>
      </c>
      <c r="N125" s="4">
        <v>0.36121999999999987</v>
      </c>
      <c r="O125" s="4">
        <f t="shared" si="19"/>
        <v>7.5925514776436165E-2</v>
      </c>
      <c r="P125" s="4">
        <f t="shared" si="15"/>
        <v>0.19992516795608947</v>
      </c>
      <c r="Q125" s="4" t="s">
        <v>299</v>
      </c>
      <c r="R125" s="3" t="s">
        <v>177</v>
      </c>
      <c r="S125" s="3" t="s">
        <v>221</v>
      </c>
      <c r="T125" s="3" t="s">
        <v>8</v>
      </c>
      <c r="U125" s="3" t="s">
        <v>335</v>
      </c>
      <c r="V125" s="3" t="s">
        <v>332</v>
      </c>
      <c r="W125" s="3" t="s">
        <v>360</v>
      </c>
      <c r="X125" s="3" t="s">
        <v>147</v>
      </c>
      <c r="Y125" s="3">
        <v>50</v>
      </c>
      <c r="Z125" s="3">
        <v>0</v>
      </c>
      <c r="AA125" s="3">
        <v>6</v>
      </c>
      <c r="AB125" s="11" t="s">
        <v>397</v>
      </c>
    </row>
    <row r="126" spans="1:28">
      <c r="A126" s="3" t="s">
        <v>66</v>
      </c>
      <c r="B126" s="3" t="s">
        <v>67</v>
      </c>
      <c r="C126" s="3">
        <v>3</v>
      </c>
      <c r="D126" s="3" t="s">
        <v>34</v>
      </c>
      <c r="E126" s="3">
        <v>2.7</v>
      </c>
      <c r="F126" s="3">
        <v>1998</v>
      </c>
      <c r="G126" s="4">
        <v>2.60955</v>
      </c>
      <c r="H126" s="3">
        <v>8</v>
      </c>
      <c r="I126" s="4">
        <f t="shared" si="22"/>
        <v>0.49638896039295638</v>
      </c>
      <c r="J126" s="4">
        <v>0.17549999999999999</v>
      </c>
      <c r="K126" s="4">
        <v>2.6589399999999999</v>
      </c>
      <c r="L126" s="3">
        <v>8</v>
      </c>
      <c r="M126" s="4">
        <f t="shared" si="23"/>
        <v>0.49387166025193208</v>
      </c>
      <c r="N126" s="4">
        <v>0.17460999999999993</v>
      </c>
      <c r="O126" s="4">
        <f t="shared" si="19"/>
        <v>1.874975445574736E-2</v>
      </c>
      <c r="P126" s="4">
        <f t="shared" si="15"/>
        <v>8.835383575543497E-3</v>
      </c>
      <c r="Q126" s="4" t="s">
        <v>303</v>
      </c>
      <c r="R126" s="3" t="s">
        <v>334</v>
      </c>
      <c r="S126" s="3" t="s">
        <v>221</v>
      </c>
      <c r="T126" s="3" t="s">
        <v>8</v>
      </c>
      <c r="U126" s="3" t="s">
        <v>335</v>
      </c>
      <c r="V126" s="3" t="s">
        <v>332</v>
      </c>
      <c r="W126" s="3" t="s">
        <v>360</v>
      </c>
      <c r="X126" s="3" t="s">
        <v>147</v>
      </c>
      <c r="Y126" s="3">
        <v>50</v>
      </c>
      <c r="Z126" s="3">
        <v>0</v>
      </c>
      <c r="AA126" s="3">
        <v>6</v>
      </c>
      <c r="AB126" s="11" t="s">
        <v>397</v>
      </c>
    </row>
    <row r="127" spans="1:28">
      <c r="A127" s="3" t="s">
        <v>66</v>
      </c>
      <c r="B127" s="3" t="s">
        <v>67</v>
      </c>
      <c r="C127" s="3">
        <v>4</v>
      </c>
      <c r="D127" s="3" t="s">
        <v>34</v>
      </c>
      <c r="E127" s="3">
        <v>2.7</v>
      </c>
      <c r="F127" s="3">
        <v>1998</v>
      </c>
      <c r="G127" s="4">
        <v>4.57491</v>
      </c>
      <c r="H127" s="3">
        <v>8</v>
      </c>
      <c r="I127" s="4">
        <f t="shared" si="22"/>
        <v>1.3533740949198041</v>
      </c>
      <c r="J127" s="4">
        <v>0.47848999999999986</v>
      </c>
      <c r="K127" s="4">
        <v>3.7650000000000001</v>
      </c>
      <c r="L127" s="3">
        <v>8</v>
      </c>
      <c r="M127" s="4">
        <f t="shared" si="23"/>
        <v>1.5582653558364177</v>
      </c>
      <c r="N127" s="4">
        <v>0.5509299999999997</v>
      </c>
      <c r="O127" s="4">
        <f t="shared" si="19"/>
        <v>-0.19483916515098126</v>
      </c>
      <c r="P127" s="4">
        <f t="shared" si="15"/>
        <v>3.2351354015133262E-2</v>
      </c>
      <c r="Q127" s="4" t="s">
        <v>303</v>
      </c>
      <c r="R127" s="3" t="s">
        <v>334</v>
      </c>
      <c r="S127" s="3" t="s">
        <v>221</v>
      </c>
      <c r="T127" s="3" t="s">
        <v>8</v>
      </c>
      <c r="U127" s="3" t="s">
        <v>335</v>
      </c>
      <c r="V127" s="3" t="s">
        <v>332</v>
      </c>
      <c r="W127" s="3" t="s">
        <v>360</v>
      </c>
      <c r="X127" s="3" t="s">
        <v>147</v>
      </c>
      <c r="Y127" s="3">
        <v>50</v>
      </c>
      <c r="Z127" s="3">
        <v>0</v>
      </c>
      <c r="AA127" s="3">
        <v>6</v>
      </c>
      <c r="AB127" s="11" t="s">
        <v>397</v>
      </c>
    </row>
    <row r="128" spans="1:28">
      <c r="A128" s="3" t="s">
        <v>66</v>
      </c>
      <c r="B128" s="3" t="s">
        <v>67</v>
      </c>
      <c r="C128" s="3">
        <v>5</v>
      </c>
      <c r="D128" s="3" t="s">
        <v>34</v>
      </c>
      <c r="E128" s="3">
        <v>2.7</v>
      </c>
      <c r="F128" s="3">
        <v>1998</v>
      </c>
      <c r="G128" s="3">
        <v>2.4116599999999999</v>
      </c>
      <c r="H128" s="3">
        <v>8</v>
      </c>
      <c r="I128" s="4">
        <f t="shared" si="22"/>
        <v>0.27922232575494432</v>
      </c>
      <c r="J128" s="3">
        <v>9.8720000000000141E-2</v>
      </c>
      <c r="K128" s="3">
        <v>3.29386</v>
      </c>
      <c r="L128" s="3">
        <v>8</v>
      </c>
      <c r="M128" s="4">
        <f t="shared" si="23"/>
        <v>0.29729597508207156</v>
      </c>
      <c r="N128" s="3">
        <v>0.10510999999999981</v>
      </c>
      <c r="O128" s="4">
        <f t="shared" ref="O128:O191" si="24">LN(K128/G128)</f>
        <v>0.31174482226281935</v>
      </c>
      <c r="P128" s="4">
        <f t="shared" si="15"/>
        <v>2.693934842623473E-3</v>
      </c>
      <c r="Q128" s="4" t="s">
        <v>303</v>
      </c>
      <c r="R128" s="3" t="s">
        <v>334</v>
      </c>
      <c r="S128" s="3" t="s">
        <v>221</v>
      </c>
      <c r="T128" s="3" t="s">
        <v>134</v>
      </c>
      <c r="U128" s="3" t="s">
        <v>335</v>
      </c>
      <c r="V128" s="3" t="s">
        <v>332</v>
      </c>
      <c r="W128" s="3" t="s">
        <v>360</v>
      </c>
      <c r="X128" s="3" t="s">
        <v>147</v>
      </c>
      <c r="Y128" s="3">
        <v>50</v>
      </c>
      <c r="Z128" s="3">
        <v>0</v>
      </c>
      <c r="AA128" s="3">
        <v>6</v>
      </c>
      <c r="AB128" s="11" t="s">
        <v>397</v>
      </c>
    </row>
    <row r="129" spans="1:28">
      <c r="A129" s="3" t="s">
        <v>66</v>
      </c>
      <c r="B129" s="3" t="s">
        <v>67</v>
      </c>
      <c r="C129" s="3">
        <v>6</v>
      </c>
      <c r="D129" s="3" t="s">
        <v>34</v>
      </c>
      <c r="E129" s="3">
        <v>2.7</v>
      </c>
      <c r="F129" s="3">
        <v>1998</v>
      </c>
      <c r="G129" s="3">
        <v>4.9053599999999999</v>
      </c>
      <c r="H129" s="3">
        <v>8</v>
      </c>
      <c r="I129" s="4">
        <f t="shared" si="22"/>
        <v>2.7920535519219545</v>
      </c>
      <c r="J129" s="3">
        <v>0.98714000000000013</v>
      </c>
      <c r="K129" s="3">
        <v>5.3461100000000004</v>
      </c>
      <c r="L129" s="3">
        <v>8</v>
      </c>
      <c r="M129" s="4">
        <f t="shared" si="23"/>
        <v>0.83167071176036944</v>
      </c>
      <c r="N129" s="3">
        <v>0.29403999999999986</v>
      </c>
      <c r="O129" s="4">
        <f t="shared" si="24"/>
        <v>8.6040708817233733E-2</v>
      </c>
      <c r="P129" s="4">
        <f t="shared" si="15"/>
        <v>4.3521417160684729E-2</v>
      </c>
      <c r="Q129" s="4" t="s">
        <v>303</v>
      </c>
      <c r="R129" s="3" t="s">
        <v>334</v>
      </c>
      <c r="S129" s="3" t="s">
        <v>221</v>
      </c>
      <c r="T129" s="3" t="s">
        <v>134</v>
      </c>
      <c r="U129" s="3" t="s">
        <v>335</v>
      </c>
      <c r="V129" s="3" t="s">
        <v>332</v>
      </c>
      <c r="W129" s="3" t="s">
        <v>360</v>
      </c>
      <c r="X129" s="3" t="s">
        <v>147</v>
      </c>
      <c r="Y129" s="3">
        <v>50</v>
      </c>
      <c r="Z129" s="3">
        <v>0</v>
      </c>
      <c r="AA129" s="3">
        <v>6</v>
      </c>
      <c r="AB129" s="11" t="s">
        <v>397</v>
      </c>
    </row>
    <row r="130" spans="1:28">
      <c r="A130" s="3" t="s">
        <v>66</v>
      </c>
      <c r="B130" s="3" t="s">
        <v>67</v>
      </c>
      <c r="C130" s="3">
        <v>7</v>
      </c>
      <c r="D130" s="3" t="s">
        <v>34</v>
      </c>
      <c r="E130" s="3">
        <v>2.7</v>
      </c>
      <c r="F130" s="3">
        <v>1998</v>
      </c>
      <c r="G130" s="3">
        <v>2.3964300000000001</v>
      </c>
      <c r="H130" s="3">
        <v>8</v>
      </c>
      <c r="I130" s="4">
        <f t="shared" si="22"/>
        <v>0.5708614465875228</v>
      </c>
      <c r="J130" s="3">
        <v>0.20182999999999973</v>
      </c>
      <c r="K130" s="3">
        <v>1.92564</v>
      </c>
      <c r="L130" s="3">
        <v>8</v>
      </c>
      <c r="M130" s="4">
        <f t="shared" si="23"/>
        <v>0.1259215755937001</v>
      </c>
      <c r="N130" s="3">
        <v>4.4519999999999893E-2</v>
      </c>
      <c r="O130" s="4">
        <f t="shared" si="24"/>
        <v>-0.21872174991030907</v>
      </c>
      <c r="P130" s="4">
        <f t="shared" ref="P130:P193" si="25">(M130^2)/(L130*(K130^2)) + (I130^2)/(H130*(G130^2))</f>
        <v>7.6277110133454677E-3</v>
      </c>
      <c r="Q130" s="4" t="s">
        <v>303</v>
      </c>
      <c r="R130" s="3" t="s">
        <v>334</v>
      </c>
      <c r="S130" s="3" t="s">
        <v>221</v>
      </c>
      <c r="T130" s="3" t="s">
        <v>134</v>
      </c>
      <c r="U130" s="3" t="s">
        <v>335</v>
      </c>
      <c r="V130" s="3" t="s">
        <v>332</v>
      </c>
      <c r="W130" s="3" t="s">
        <v>360</v>
      </c>
      <c r="X130" s="3" t="s">
        <v>147</v>
      </c>
      <c r="Y130" s="3">
        <v>50</v>
      </c>
      <c r="Z130" s="3">
        <v>0</v>
      </c>
      <c r="AA130" s="3">
        <v>6</v>
      </c>
      <c r="AB130" s="11" t="s">
        <v>397</v>
      </c>
    </row>
    <row r="131" spans="1:28">
      <c r="A131" s="3" t="s">
        <v>66</v>
      </c>
      <c r="B131" s="3" t="s">
        <v>67</v>
      </c>
      <c r="C131" s="3">
        <v>8</v>
      </c>
      <c r="D131" s="3" t="s">
        <v>34</v>
      </c>
      <c r="E131" s="3">
        <v>2.7</v>
      </c>
      <c r="F131" s="3">
        <v>1998</v>
      </c>
      <c r="G131" s="3">
        <v>3.2197900000000002</v>
      </c>
      <c r="H131" s="3">
        <v>8</v>
      </c>
      <c r="I131" s="4">
        <f t="shared" si="22"/>
        <v>6.9947002794973054E-2</v>
      </c>
      <c r="J131" s="3">
        <v>2.4729999999999919E-2</v>
      </c>
      <c r="K131" s="3">
        <v>3.7398699999999998</v>
      </c>
      <c r="L131" s="3">
        <v>8</v>
      </c>
      <c r="M131" s="4">
        <f t="shared" si="23"/>
        <v>2.1164271646338313</v>
      </c>
      <c r="N131" s="3">
        <v>0.74826999999999977</v>
      </c>
      <c r="O131" s="4">
        <f t="shared" si="24"/>
        <v>0.14973471142576519</v>
      </c>
      <c r="P131" s="4">
        <f t="shared" si="25"/>
        <v>4.0090657121169382E-2</v>
      </c>
      <c r="Q131" s="4" t="s">
        <v>303</v>
      </c>
      <c r="R131" s="3" t="s">
        <v>334</v>
      </c>
      <c r="S131" s="3" t="s">
        <v>221</v>
      </c>
      <c r="T131" s="3" t="s">
        <v>134</v>
      </c>
      <c r="U131" s="3" t="s">
        <v>335</v>
      </c>
      <c r="V131" s="3" t="s">
        <v>332</v>
      </c>
      <c r="W131" s="3" t="s">
        <v>360</v>
      </c>
      <c r="X131" s="3" t="s">
        <v>147</v>
      </c>
      <c r="Y131" s="3">
        <v>50</v>
      </c>
      <c r="Z131" s="3">
        <v>0</v>
      </c>
      <c r="AA131" s="3">
        <v>6</v>
      </c>
      <c r="AB131" s="11" t="s">
        <v>397</v>
      </c>
    </row>
    <row r="132" spans="1:28">
      <c r="A132" s="3" t="s">
        <v>68</v>
      </c>
      <c r="B132" s="3" t="s">
        <v>69</v>
      </c>
      <c r="C132" s="3">
        <v>1</v>
      </c>
      <c r="D132" s="3" t="s">
        <v>153</v>
      </c>
      <c r="E132" s="3">
        <v>1.2</v>
      </c>
      <c r="F132" s="3">
        <v>2010</v>
      </c>
      <c r="G132" s="4">
        <v>74.724019999999996</v>
      </c>
      <c r="H132" s="3">
        <v>15</v>
      </c>
      <c r="I132" s="4">
        <f t="shared" si="22"/>
        <v>15.759711453386466</v>
      </c>
      <c r="J132" s="4">
        <v>4.0691400000000044</v>
      </c>
      <c r="K132" s="4">
        <v>76.244299999999996</v>
      </c>
      <c r="L132" s="3">
        <v>15</v>
      </c>
      <c r="M132" s="4">
        <f t="shared" si="23"/>
        <v>13.570275237941964</v>
      </c>
      <c r="N132" s="4">
        <v>3.5038300000000078</v>
      </c>
      <c r="O132" s="4">
        <f t="shared" si="24"/>
        <v>2.014106526502947E-2</v>
      </c>
      <c r="P132" s="4">
        <f t="shared" si="25"/>
        <v>5.077300397269861E-3</v>
      </c>
      <c r="Q132" s="4" t="s">
        <v>305</v>
      </c>
      <c r="R132" s="3" t="s">
        <v>116</v>
      </c>
      <c r="S132" s="3" t="s">
        <v>221</v>
      </c>
      <c r="T132" s="3" t="s">
        <v>97</v>
      </c>
      <c r="U132" s="3" t="s">
        <v>335</v>
      </c>
      <c r="V132" s="3" t="s">
        <v>332</v>
      </c>
      <c r="W132" s="3" t="s">
        <v>360</v>
      </c>
      <c r="X132" s="3" t="s">
        <v>147</v>
      </c>
      <c r="Y132" s="3">
        <v>30</v>
      </c>
      <c r="Z132" s="3">
        <v>0</v>
      </c>
      <c r="AA132" s="3">
        <v>6</v>
      </c>
      <c r="AB132" s="11" t="s">
        <v>397</v>
      </c>
    </row>
    <row r="133" spans="1:28">
      <c r="A133" s="3" t="s">
        <v>68</v>
      </c>
      <c r="B133" s="3" t="s">
        <v>69</v>
      </c>
      <c r="C133" s="3">
        <v>2</v>
      </c>
      <c r="D133" s="3" t="s">
        <v>153</v>
      </c>
      <c r="E133" s="3">
        <v>1.2</v>
      </c>
      <c r="F133" s="3">
        <v>2010</v>
      </c>
      <c r="G133" s="4">
        <v>71.680869999999999</v>
      </c>
      <c r="H133" s="3">
        <v>15</v>
      </c>
      <c r="I133" s="4">
        <f t="shared" si="22"/>
        <v>4.2822027665676936</v>
      </c>
      <c r="J133" s="4">
        <v>1.1056600000000003</v>
      </c>
      <c r="K133" s="4">
        <v>75.898560000000003</v>
      </c>
      <c r="L133" s="3">
        <v>15</v>
      </c>
      <c r="M133" s="4">
        <f t="shared" si="23"/>
        <v>3.415080525185326</v>
      </c>
      <c r="N133" s="4">
        <v>0.88177000000000305</v>
      </c>
      <c r="O133" s="4">
        <f t="shared" si="24"/>
        <v>5.7173806019786881E-2</v>
      </c>
      <c r="P133" s="4">
        <f t="shared" si="25"/>
        <v>3.7289509133926887E-4</v>
      </c>
      <c r="Q133" s="4" t="s">
        <v>305</v>
      </c>
      <c r="R133" s="3" t="s">
        <v>116</v>
      </c>
      <c r="S133" s="3" t="s">
        <v>221</v>
      </c>
      <c r="T133" s="3" t="s">
        <v>97</v>
      </c>
      <c r="U133" s="3" t="s">
        <v>335</v>
      </c>
      <c r="V133" s="3" t="s">
        <v>332</v>
      </c>
      <c r="W133" s="3" t="s">
        <v>360</v>
      </c>
      <c r="X133" s="3" t="s">
        <v>147</v>
      </c>
      <c r="Y133" s="3">
        <v>30</v>
      </c>
      <c r="Z133" s="3">
        <v>0</v>
      </c>
      <c r="AA133" s="3">
        <v>12</v>
      </c>
      <c r="AB133" s="11" t="s">
        <v>397</v>
      </c>
    </row>
    <row r="134" spans="1:28">
      <c r="A134" s="3" t="s">
        <v>68</v>
      </c>
      <c r="B134" s="3" t="s">
        <v>69</v>
      </c>
      <c r="C134" s="3">
        <v>3</v>
      </c>
      <c r="D134" s="3" t="s">
        <v>153</v>
      </c>
      <c r="E134" s="3">
        <v>1.2</v>
      </c>
      <c r="F134" s="3">
        <v>2010</v>
      </c>
      <c r="G134" s="4">
        <v>65.378889999999998</v>
      </c>
      <c r="H134" s="3">
        <v>15</v>
      </c>
      <c r="I134" s="4">
        <f t="shared" si="22"/>
        <v>8.8144840678000129</v>
      </c>
      <c r="J134" s="4">
        <v>2.275890000000004</v>
      </c>
      <c r="K134" s="4">
        <v>73.040559999999999</v>
      </c>
      <c r="L134" s="3">
        <v>15</v>
      </c>
      <c r="M134" s="4">
        <f t="shared" si="23"/>
        <v>2.5562851979973051</v>
      </c>
      <c r="N134" s="4">
        <v>0.66003000000000611</v>
      </c>
      <c r="O134" s="4">
        <f t="shared" si="24"/>
        <v>0.11081547980615448</v>
      </c>
      <c r="P134" s="4">
        <f t="shared" si="25"/>
        <v>1.2934483173773401E-3</v>
      </c>
      <c r="Q134" s="4" t="s">
        <v>305</v>
      </c>
      <c r="R134" s="3" t="s">
        <v>116</v>
      </c>
      <c r="S134" s="3" t="s">
        <v>221</v>
      </c>
      <c r="T134" s="3" t="s">
        <v>97</v>
      </c>
      <c r="U134" s="3" t="s">
        <v>335</v>
      </c>
      <c r="V134" s="3" t="s">
        <v>332</v>
      </c>
      <c r="W134" s="3" t="s">
        <v>360</v>
      </c>
      <c r="X134" s="3" t="s">
        <v>147</v>
      </c>
      <c r="Y134" s="3">
        <v>30</v>
      </c>
      <c r="Z134" s="3">
        <v>0</v>
      </c>
      <c r="AA134" s="3">
        <v>18</v>
      </c>
      <c r="AB134" s="11" t="s">
        <v>397</v>
      </c>
    </row>
    <row r="135" spans="1:28">
      <c r="A135" s="3" t="s">
        <v>68</v>
      </c>
      <c r="B135" s="3" t="s">
        <v>69</v>
      </c>
      <c r="C135" s="3">
        <v>4</v>
      </c>
      <c r="D135" s="3" t="s">
        <v>153</v>
      </c>
      <c r="E135" s="3">
        <v>1.2</v>
      </c>
      <c r="F135" s="3">
        <v>2010</v>
      </c>
      <c r="G135" s="4">
        <v>62.177729999999997</v>
      </c>
      <c r="H135" s="3">
        <v>15</v>
      </c>
      <c r="I135" s="4">
        <f t="shared" si="22"/>
        <v>9.7299798711765106</v>
      </c>
      <c r="J135" s="4">
        <v>2.5122700000000009</v>
      </c>
      <c r="K135" s="4">
        <v>68.908550000000005</v>
      </c>
      <c r="L135" s="3">
        <v>15</v>
      </c>
      <c r="M135" s="4">
        <f t="shared" si="23"/>
        <v>19.713446502362292</v>
      </c>
      <c r="N135" s="4">
        <v>5.0899900000000002</v>
      </c>
      <c r="O135" s="4">
        <f t="shared" si="24"/>
        <v>0.10278336616016401</v>
      </c>
      <c r="P135" s="4">
        <f t="shared" si="25"/>
        <v>7.0887032564696216E-3</v>
      </c>
      <c r="Q135" s="4" t="s">
        <v>305</v>
      </c>
      <c r="R135" s="3" t="s">
        <v>116</v>
      </c>
      <c r="S135" s="3" t="s">
        <v>221</v>
      </c>
      <c r="T135" s="3" t="s">
        <v>97</v>
      </c>
      <c r="U135" s="3" t="s">
        <v>335</v>
      </c>
      <c r="V135" s="3" t="s">
        <v>332</v>
      </c>
      <c r="W135" s="3" t="s">
        <v>360</v>
      </c>
      <c r="X135" s="3" t="s">
        <v>147</v>
      </c>
      <c r="Y135" s="3">
        <v>30</v>
      </c>
      <c r="Z135" s="3">
        <v>0</v>
      </c>
      <c r="AA135" s="3">
        <v>24</v>
      </c>
      <c r="AB135" s="11" t="s">
        <v>397</v>
      </c>
    </row>
    <row r="136" spans="1:28">
      <c r="A136" s="3" t="s">
        <v>68</v>
      </c>
      <c r="B136" s="3" t="s">
        <v>69</v>
      </c>
      <c r="C136" s="3">
        <v>5</v>
      </c>
      <c r="D136" s="3" t="s">
        <v>153</v>
      </c>
      <c r="E136" s="3">
        <v>1.2</v>
      </c>
      <c r="F136" s="3">
        <v>2010</v>
      </c>
      <c r="G136" s="4">
        <v>53.949019999999997</v>
      </c>
      <c r="H136" s="3">
        <v>15</v>
      </c>
      <c r="I136" s="4">
        <f t="shared" si="22"/>
        <v>8.2592531752877143</v>
      </c>
      <c r="J136" s="4">
        <v>2.1325300000000027</v>
      </c>
      <c r="K136" s="4">
        <v>62.555759999999999</v>
      </c>
      <c r="L136" s="3">
        <v>15</v>
      </c>
      <c r="M136" s="4">
        <f t="shared" si="23"/>
        <v>14.122214094609962</v>
      </c>
      <c r="N136" s="4">
        <v>3.6463400000000021</v>
      </c>
      <c r="O136" s="4">
        <f t="shared" si="24"/>
        <v>0.14801879243257349</v>
      </c>
      <c r="P136" s="4">
        <f t="shared" si="25"/>
        <v>4.9601697504931212E-3</v>
      </c>
      <c r="Q136" s="4" t="s">
        <v>305</v>
      </c>
      <c r="R136" s="3" t="s">
        <v>116</v>
      </c>
      <c r="S136" s="3" t="s">
        <v>221</v>
      </c>
      <c r="T136" s="3" t="s">
        <v>97</v>
      </c>
      <c r="U136" s="3" t="s">
        <v>335</v>
      </c>
      <c r="V136" s="3" t="s">
        <v>332</v>
      </c>
      <c r="W136" s="3" t="s">
        <v>360</v>
      </c>
      <c r="X136" s="3" t="s">
        <v>147</v>
      </c>
      <c r="Y136" s="3">
        <v>30</v>
      </c>
      <c r="Z136" s="3">
        <v>0</v>
      </c>
      <c r="AA136" s="3">
        <v>30</v>
      </c>
      <c r="AB136" s="11" t="s">
        <v>397</v>
      </c>
    </row>
    <row r="137" spans="1:28">
      <c r="A137" s="3" t="s">
        <v>68</v>
      </c>
      <c r="B137" s="3" t="s">
        <v>69</v>
      </c>
      <c r="C137" s="3">
        <v>6</v>
      </c>
      <c r="D137" s="3" t="s">
        <v>153</v>
      </c>
      <c r="E137" s="3">
        <v>1.2</v>
      </c>
      <c r="F137" s="3">
        <v>2010</v>
      </c>
      <c r="G137" s="4">
        <v>53.314390000000003</v>
      </c>
      <c r="H137" s="3">
        <v>15</v>
      </c>
      <c r="I137" s="4">
        <f t="shared" si="22"/>
        <v>10.683818209680469</v>
      </c>
      <c r="J137" s="4">
        <v>2.7585499999999996</v>
      </c>
      <c r="K137" s="4">
        <v>61.325670000000002</v>
      </c>
      <c r="L137" s="3">
        <v>15</v>
      </c>
      <c r="M137" s="4">
        <f t="shared" si="23"/>
        <v>9.5415592313835127</v>
      </c>
      <c r="N137" s="4">
        <v>2.4636199999999988</v>
      </c>
      <c r="O137" s="4">
        <f t="shared" si="24"/>
        <v>0.13999223951064721</v>
      </c>
      <c r="P137" s="4">
        <f t="shared" si="25"/>
        <v>4.2909995581587295E-3</v>
      </c>
      <c r="Q137" s="4" t="s">
        <v>305</v>
      </c>
      <c r="R137" s="3" t="s">
        <v>116</v>
      </c>
      <c r="S137" s="3" t="s">
        <v>221</v>
      </c>
      <c r="T137" s="3" t="s">
        <v>97</v>
      </c>
      <c r="U137" s="3" t="s">
        <v>335</v>
      </c>
      <c r="V137" s="3" t="s">
        <v>332</v>
      </c>
      <c r="W137" s="3" t="s">
        <v>360</v>
      </c>
      <c r="X137" s="3" t="s">
        <v>147</v>
      </c>
      <c r="Y137" s="3">
        <v>30</v>
      </c>
      <c r="Z137" s="3">
        <v>0</v>
      </c>
      <c r="AA137" s="3">
        <v>36</v>
      </c>
      <c r="AB137" s="11" t="s">
        <v>397</v>
      </c>
    </row>
    <row r="138" spans="1:28">
      <c r="A138" s="3" t="s">
        <v>68</v>
      </c>
      <c r="B138" s="3" t="s">
        <v>69</v>
      </c>
      <c r="C138" s="3">
        <v>7</v>
      </c>
      <c r="D138" s="3" t="s">
        <v>153</v>
      </c>
      <c r="E138" s="3">
        <v>1.2</v>
      </c>
      <c r="F138" s="3">
        <v>2010</v>
      </c>
      <c r="G138" s="4">
        <v>52.350810000000003</v>
      </c>
      <c r="H138" s="3">
        <v>15</v>
      </c>
      <c r="I138" s="4">
        <f t="shared" si="22"/>
        <v>15.012690425569943</v>
      </c>
      <c r="J138" s="4">
        <v>3.8762599999999949</v>
      </c>
      <c r="K138" s="4">
        <v>60.33755</v>
      </c>
      <c r="L138" s="3">
        <v>15</v>
      </c>
      <c r="M138" s="4">
        <f t="shared" si="23"/>
        <v>17.41727086589631</v>
      </c>
      <c r="N138" s="4">
        <v>4.4971200000000024</v>
      </c>
      <c r="O138" s="4">
        <f t="shared" si="24"/>
        <v>0.14198721968210759</v>
      </c>
      <c r="P138" s="4">
        <f t="shared" si="25"/>
        <v>1.1037626489315909E-2</v>
      </c>
      <c r="Q138" s="4" t="s">
        <v>305</v>
      </c>
      <c r="R138" s="3" t="s">
        <v>116</v>
      </c>
      <c r="S138" s="3" t="s">
        <v>221</v>
      </c>
      <c r="T138" s="3" t="s">
        <v>97</v>
      </c>
      <c r="U138" s="3" t="s">
        <v>335</v>
      </c>
      <c r="V138" s="3" t="s">
        <v>332</v>
      </c>
      <c r="W138" s="3" t="s">
        <v>360</v>
      </c>
      <c r="X138" s="3" t="s">
        <v>147</v>
      </c>
      <c r="Y138" s="3">
        <v>30</v>
      </c>
      <c r="Z138" s="3">
        <v>0</v>
      </c>
      <c r="AA138" s="3">
        <v>42</v>
      </c>
      <c r="AB138" s="11" t="s">
        <v>397</v>
      </c>
    </row>
    <row r="139" spans="1:28">
      <c r="A139" s="3" t="s">
        <v>68</v>
      </c>
      <c r="B139" s="3" t="s">
        <v>69</v>
      </c>
      <c r="C139" s="3">
        <v>8</v>
      </c>
      <c r="D139" s="3" t="s">
        <v>153</v>
      </c>
      <c r="E139" s="3">
        <v>1.2</v>
      </c>
      <c r="F139" s="3">
        <v>2010</v>
      </c>
      <c r="G139" s="4">
        <v>48.051319999999997</v>
      </c>
      <c r="H139" s="3">
        <v>15</v>
      </c>
      <c r="I139" s="4">
        <f t="shared" si="22"/>
        <v>10.505389866920719</v>
      </c>
      <c r="J139" s="4">
        <v>2.7124800000000064</v>
      </c>
      <c r="K139" s="4">
        <v>53.372079999999997</v>
      </c>
      <c r="L139" s="3">
        <v>15</v>
      </c>
      <c r="M139" s="4">
        <f t="shared" si="23"/>
        <v>6.1281440890370886</v>
      </c>
      <c r="N139" s="4">
        <v>1.5822800000000043</v>
      </c>
      <c r="O139" s="4">
        <f t="shared" si="24"/>
        <v>0.10501815636939377</v>
      </c>
      <c r="P139" s="4">
        <f t="shared" si="25"/>
        <v>4.0654604120677557E-3</v>
      </c>
      <c r="Q139" s="4" t="s">
        <v>305</v>
      </c>
      <c r="R139" s="3" t="s">
        <v>116</v>
      </c>
      <c r="S139" s="3" t="s">
        <v>221</v>
      </c>
      <c r="T139" s="3" t="s">
        <v>97</v>
      </c>
      <c r="U139" s="3" t="s">
        <v>335</v>
      </c>
      <c r="V139" s="3" t="s">
        <v>332</v>
      </c>
      <c r="W139" s="3" t="s">
        <v>360</v>
      </c>
      <c r="X139" s="3" t="s">
        <v>148</v>
      </c>
      <c r="Y139" s="3">
        <v>30</v>
      </c>
      <c r="Z139" s="3">
        <v>0</v>
      </c>
      <c r="AA139" s="3">
        <v>48</v>
      </c>
      <c r="AB139" s="11" t="s">
        <v>397</v>
      </c>
    </row>
    <row r="140" spans="1:28">
      <c r="A140" s="3" t="s">
        <v>71</v>
      </c>
      <c r="B140" s="3" t="s">
        <v>70</v>
      </c>
      <c r="C140" s="3">
        <v>1</v>
      </c>
      <c r="D140" s="3" t="s">
        <v>154</v>
      </c>
      <c r="E140" s="3">
        <v>1.5</v>
      </c>
      <c r="F140" s="3">
        <v>2012</v>
      </c>
      <c r="G140" s="4">
        <v>5.9907000000000004</v>
      </c>
      <c r="H140" s="3">
        <v>3</v>
      </c>
      <c r="I140" s="4">
        <f t="shared" si="22"/>
        <v>1.082462472698245</v>
      </c>
      <c r="J140" s="4">
        <v>0.62495999999999974</v>
      </c>
      <c r="K140" s="4">
        <v>10.183540000000001</v>
      </c>
      <c r="L140" s="3">
        <v>3</v>
      </c>
      <c r="M140" s="4">
        <f t="shared" si="23"/>
        <v>2.5461839691585508</v>
      </c>
      <c r="N140" s="4">
        <v>1.4700399999999991</v>
      </c>
      <c r="O140" s="4">
        <f t="shared" si="24"/>
        <v>0.53056442460726161</v>
      </c>
      <c r="P140" s="4">
        <f t="shared" si="25"/>
        <v>3.172124343923137E-2</v>
      </c>
      <c r="Q140" s="4" t="s">
        <v>292</v>
      </c>
      <c r="R140" s="3" t="s">
        <v>117</v>
      </c>
      <c r="S140" s="3" t="s">
        <v>221</v>
      </c>
      <c r="T140" s="3" t="s">
        <v>8</v>
      </c>
      <c r="U140" s="3" t="s">
        <v>335</v>
      </c>
      <c r="V140" s="3" t="s">
        <v>165</v>
      </c>
      <c r="W140" s="3" t="s">
        <v>112</v>
      </c>
      <c r="X140" s="3" t="s">
        <v>98</v>
      </c>
      <c r="Y140" s="3" t="s">
        <v>363</v>
      </c>
      <c r="Z140" s="3">
        <v>180</v>
      </c>
      <c r="AA140" s="3">
        <v>0</v>
      </c>
      <c r="AB140" s="11" t="s">
        <v>397</v>
      </c>
    </row>
    <row r="141" spans="1:28">
      <c r="A141" s="3" t="s">
        <v>71</v>
      </c>
      <c r="B141" s="3" t="s">
        <v>70</v>
      </c>
      <c r="C141" s="3">
        <v>2</v>
      </c>
      <c r="D141" s="3" t="s">
        <v>154</v>
      </c>
      <c r="E141" s="3">
        <v>1.5</v>
      </c>
      <c r="F141" s="3">
        <v>2012</v>
      </c>
      <c r="G141" s="4">
        <v>3.8837799999999998</v>
      </c>
      <c r="H141" s="3">
        <v>3</v>
      </c>
      <c r="I141" s="4">
        <f t="shared" si="22"/>
        <v>1.3591229481912228</v>
      </c>
      <c r="J141" s="4">
        <v>0.78469000000000033</v>
      </c>
      <c r="K141" s="4">
        <v>7.36843</v>
      </c>
      <c r="L141" s="3">
        <v>3</v>
      </c>
      <c r="M141" s="4">
        <f t="shared" si="23"/>
        <v>1.0803320502049361</v>
      </c>
      <c r="N141" s="4">
        <v>0.62373000000000012</v>
      </c>
      <c r="O141" s="4">
        <f t="shared" si="24"/>
        <v>0.64039575153947448</v>
      </c>
      <c r="P141" s="4">
        <f t="shared" si="25"/>
        <v>4.798676321172729E-2</v>
      </c>
      <c r="Q141" s="4" t="s">
        <v>292</v>
      </c>
      <c r="R141" s="3" t="s">
        <v>117</v>
      </c>
      <c r="S141" s="3" t="s">
        <v>221</v>
      </c>
      <c r="T141" s="3" t="s">
        <v>8</v>
      </c>
      <c r="U141" s="3" t="s">
        <v>335</v>
      </c>
      <c r="V141" s="3" t="s">
        <v>165</v>
      </c>
      <c r="W141" s="3" t="s">
        <v>112</v>
      </c>
      <c r="X141" s="3" t="s">
        <v>98</v>
      </c>
      <c r="Y141" s="3" t="s">
        <v>363</v>
      </c>
      <c r="Z141" s="3">
        <v>180</v>
      </c>
      <c r="AA141" s="3">
        <v>0</v>
      </c>
      <c r="AB141" s="11" t="s">
        <v>397</v>
      </c>
    </row>
    <row r="142" spans="1:28">
      <c r="A142" s="3" t="s">
        <v>71</v>
      </c>
      <c r="B142" s="3" t="s">
        <v>70</v>
      </c>
      <c r="C142" s="3">
        <v>3</v>
      </c>
      <c r="D142" s="3" t="s">
        <v>154</v>
      </c>
      <c r="E142" s="3">
        <v>1.5</v>
      </c>
      <c r="F142" s="3">
        <v>2012</v>
      </c>
      <c r="G142" s="4">
        <v>2.6023399999999999</v>
      </c>
      <c r="H142" s="3">
        <v>3</v>
      </c>
      <c r="I142" s="4">
        <f t="shared" si="22"/>
        <v>0.34609839236841361</v>
      </c>
      <c r="J142" s="4">
        <v>0.19982000000000033</v>
      </c>
      <c r="K142" s="4">
        <v>5.1568500000000004</v>
      </c>
      <c r="L142" s="3">
        <v>3</v>
      </c>
      <c r="M142" s="4">
        <f t="shared" si="23"/>
        <v>2.18099837689073</v>
      </c>
      <c r="N142" s="4">
        <v>1.2591999999999999</v>
      </c>
      <c r="O142" s="4">
        <f t="shared" si="24"/>
        <v>0.68391488769722253</v>
      </c>
      <c r="P142" s="4">
        <f t="shared" si="25"/>
        <v>6.5519803435013457E-2</v>
      </c>
      <c r="Q142" s="4" t="s">
        <v>292</v>
      </c>
      <c r="R142" s="3" t="s">
        <v>117</v>
      </c>
      <c r="S142" s="3" t="s">
        <v>221</v>
      </c>
      <c r="T142" s="3" t="s">
        <v>8</v>
      </c>
      <c r="U142" s="3" t="s">
        <v>335</v>
      </c>
      <c r="V142" s="3" t="s">
        <v>165</v>
      </c>
      <c r="W142" s="3" t="s">
        <v>112</v>
      </c>
      <c r="X142" s="3" t="s">
        <v>98</v>
      </c>
      <c r="Y142" s="3" t="s">
        <v>363</v>
      </c>
      <c r="Z142" s="3">
        <v>180</v>
      </c>
      <c r="AA142" s="3">
        <v>0</v>
      </c>
      <c r="AB142" s="11" t="s">
        <v>397</v>
      </c>
    </row>
    <row r="143" spans="1:28">
      <c r="A143" s="3" t="s">
        <v>71</v>
      </c>
      <c r="B143" s="3" t="s">
        <v>70</v>
      </c>
      <c r="C143" s="3">
        <v>4</v>
      </c>
      <c r="D143" s="3" t="s">
        <v>154</v>
      </c>
      <c r="E143" s="3">
        <v>1.5</v>
      </c>
      <c r="F143" s="3">
        <v>2012</v>
      </c>
      <c r="G143" s="4">
        <v>2.99831</v>
      </c>
      <c r="H143" s="3">
        <v>3</v>
      </c>
      <c r="I143" s="4">
        <f t="shared" si="22"/>
        <v>1.1854502137162906</v>
      </c>
      <c r="J143" s="4">
        <v>0.68441999999999981</v>
      </c>
      <c r="K143" s="4">
        <v>4.97661</v>
      </c>
      <c r="L143" s="3">
        <v>3</v>
      </c>
      <c r="M143" s="4">
        <f t="shared" si="23"/>
        <v>1.8391435090008601</v>
      </c>
      <c r="N143" s="4">
        <v>1.0618299999999996</v>
      </c>
      <c r="O143" s="4">
        <f t="shared" si="24"/>
        <v>0.50670013974503003</v>
      </c>
      <c r="P143" s="4">
        <f t="shared" si="25"/>
        <v>9.7630796345694826E-2</v>
      </c>
      <c r="Q143" s="4" t="s">
        <v>292</v>
      </c>
      <c r="R143" s="3" t="s">
        <v>117</v>
      </c>
      <c r="S143" s="3" t="s">
        <v>221</v>
      </c>
      <c r="T143" s="3" t="s">
        <v>8</v>
      </c>
      <c r="U143" s="3" t="s">
        <v>335</v>
      </c>
      <c r="V143" s="3" t="s">
        <v>165</v>
      </c>
      <c r="W143" s="3" t="s">
        <v>112</v>
      </c>
      <c r="X143" s="3" t="s">
        <v>98</v>
      </c>
      <c r="Y143" s="3" t="s">
        <v>363</v>
      </c>
      <c r="Z143" s="3">
        <v>180</v>
      </c>
      <c r="AA143" s="3">
        <v>0</v>
      </c>
      <c r="AB143" s="11" t="s">
        <v>397</v>
      </c>
    </row>
    <row r="144" spans="1:28">
      <c r="A144" s="3" t="s">
        <v>71</v>
      </c>
      <c r="B144" s="3" t="s">
        <v>70</v>
      </c>
      <c r="C144" s="3">
        <v>5</v>
      </c>
      <c r="D144" s="3" t="s">
        <v>154</v>
      </c>
      <c r="E144" s="3">
        <v>1.5</v>
      </c>
      <c r="F144" s="3">
        <v>2012</v>
      </c>
      <c r="G144" s="4">
        <v>2.5879599999999998</v>
      </c>
      <c r="H144" s="3">
        <v>3</v>
      </c>
      <c r="I144" s="4">
        <f t="shared" si="22"/>
        <v>0.54767446535327946</v>
      </c>
      <c r="J144" s="4">
        <v>0.31620000000000026</v>
      </c>
      <c r="K144" s="4">
        <v>4.8978700000000002</v>
      </c>
      <c r="L144" s="3">
        <v>3</v>
      </c>
      <c r="M144" s="4">
        <f t="shared" si="23"/>
        <v>1.3552431543822678</v>
      </c>
      <c r="N144" s="4">
        <v>0.78244999999999987</v>
      </c>
      <c r="O144" s="4">
        <f t="shared" si="24"/>
        <v>0.63793049616358899</v>
      </c>
      <c r="P144" s="4">
        <f t="shared" si="25"/>
        <v>4.0449298569642439E-2</v>
      </c>
      <c r="Q144" s="4" t="s">
        <v>292</v>
      </c>
      <c r="R144" s="3" t="s">
        <v>117</v>
      </c>
      <c r="S144" s="3" t="s">
        <v>221</v>
      </c>
      <c r="T144" s="3" t="s">
        <v>8</v>
      </c>
      <c r="U144" s="3" t="s">
        <v>335</v>
      </c>
      <c r="V144" s="3" t="s">
        <v>165</v>
      </c>
      <c r="W144" s="3" t="s">
        <v>112</v>
      </c>
      <c r="X144" s="3" t="s">
        <v>98</v>
      </c>
      <c r="Y144" s="3" t="s">
        <v>363</v>
      </c>
      <c r="Z144" s="3">
        <v>180</v>
      </c>
      <c r="AA144" s="3">
        <v>0</v>
      </c>
      <c r="AB144" s="11" t="s">
        <v>397</v>
      </c>
    </row>
    <row r="145" spans="1:28">
      <c r="A145" s="3" t="s">
        <v>71</v>
      </c>
      <c r="B145" s="3" t="s">
        <v>70</v>
      </c>
      <c r="C145" s="3">
        <v>6</v>
      </c>
      <c r="D145" s="3" t="s">
        <v>154</v>
      </c>
      <c r="E145" s="3">
        <v>1.5</v>
      </c>
      <c r="F145" s="3">
        <v>2012</v>
      </c>
      <c r="G145" s="4">
        <v>3.3127800000000001</v>
      </c>
      <c r="H145" s="3">
        <v>3</v>
      </c>
      <c r="I145" s="4">
        <f t="shared" si="22"/>
        <v>1.0133709659843229</v>
      </c>
      <c r="J145" s="4">
        <v>0.58506999999999998</v>
      </c>
      <c r="K145" s="4">
        <v>3.10317</v>
      </c>
      <c r="L145" s="3">
        <v>3</v>
      </c>
      <c r="M145" s="4">
        <f t="shared" si="23"/>
        <v>1.4843848625946032</v>
      </c>
      <c r="N145" s="4">
        <v>0.85700999999999983</v>
      </c>
      <c r="O145" s="4">
        <f t="shared" si="24"/>
        <v>-6.5363546385083307E-2</v>
      </c>
      <c r="P145" s="4">
        <f t="shared" si="25"/>
        <v>0.10746229518069433</v>
      </c>
      <c r="Q145" s="4" t="s">
        <v>292</v>
      </c>
      <c r="R145" s="3" t="s">
        <v>117</v>
      </c>
      <c r="S145" s="3" t="s">
        <v>221</v>
      </c>
      <c r="T145" s="3" t="s">
        <v>8</v>
      </c>
      <c r="U145" s="3" t="s">
        <v>335</v>
      </c>
      <c r="V145" s="3" t="s">
        <v>165</v>
      </c>
      <c r="W145" s="3" t="s">
        <v>112</v>
      </c>
      <c r="X145" s="3" t="s">
        <v>98</v>
      </c>
      <c r="Y145" s="3" t="s">
        <v>363</v>
      </c>
      <c r="Z145" s="3">
        <v>180</v>
      </c>
      <c r="AA145" s="3">
        <v>0</v>
      </c>
      <c r="AB145" s="11" t="s">
        <v>397</v>
      </c>
    </row>
    <row r="146" spans="1:28">
      <c r="A146" s="3" t="s">
        <v>73</v>
      </c>
      <c r="B146" s="3" t="s">
        <v>72</v>
      </c>
      <c r="C146" s="3">
        <v>1</v>
      </c>
      <c r="D146" s="3" t="s">
        <v>21</v>
      </c>
      <c r="E146" s="5">
        <v>6.1</v>
      </c>
      <c r="F146" s="3">
        <v>2020</v>
      </c>
      <c r="G146" s="4">
        <v>2.94225</v>
      </c>
      <c r="H146" s="3">
        <v>80</v>
      </c>
      <c r="I146" s="4">
        <f t="shared" si="22"/>
        <v>5.7086815465569609</v>
      </c>
      <c r="J146" s="4">
        <v>0.63824999999999976</v>
      </c>
      <c r="K146" s="4">
        <v>4.3790100000000001</v>
      </c>
      <c r="L146" s="3">
        <v>80</v>
      </c>
      <c r="M146" s="4">
        <f t="shared" si="23"/>
        <v>5.5208518364469841</v>
      </c>
      <c r="N146" s="4">
        <v>0.6172500000000003</v>
      </c>
      <c r="O146" s="4">
        <f t="shared" si="24"/>
        <v>0.39764807666741792</v>
      </c>
      <c r="P146" s="4">
        <f t="shared" si="25"/>
        <v>6.6925552128080629E-2</v>
      </c>
      <c r="Q146" s="4" t="s">
        <v>307</v>
      </c>
      <c r="R146" s="3" t="s">
        <v>118</v>
      </c>
      <c r="S146" s="3" t="s">
        <v>221</v>
      </c>
      <c r="T146" s="3" t="s">
        <v>8</v>
      </c>
      <c r="U146" s="3" t="s">
        <v>337</v>
      </c>
      <c r="V146" s="3" t="s">
        <v>332</v>
      </c>
      <c r="W146" s="3" t="s">
        <v>339</v>
      </c>
      <c r="X146" s="3" t="s">
        <v>166</v>
      </c>
      <c r="Y146" s="3">
        <v>25</v>
      </c>
      <c r="Z146" s="3">
        <v>0</v>
      </c>
      <c r="AA146" s="3">
        <v>7</v>
      </c>
      <c r="AB146" s="11" t="s">
        <v>397</v>
      </c>
    </row>
    <row r="147" spans="1:28">
      <c r="A147" s="3" t="s">
        <v>73</v>
      </c>
      <c r="B147" s="3" t="s">
        <v>72</v>
      </c>
      <c r="C147" s="3">
        <v>2</v>
      </c>
      <c r="D147" s="3" t="s">
        <v>21</v>
      </c>
      <c r="E147" s="5">
        <v>6.1</v>
      </c>
      <c r="F147" s="3">
        <v>2020</v>
      </c>
      <c r="G147" s="4">
        <v>3.2088100000000002</v>
      </c>
      <c r="H147" s="3">
        <v>80</v>
      </c>
      <c r="I147" s="4">
        <f t="shared" si="22"/>
        <v>5.5593122056599782</v>
      </c>
      <c r="J147" s="4">
        <v>0.62155000000000005</v>
      </c>
      <c r="K147" s="4">
        <v>3.4894599999999998</v>
      </c>
      <c r="L147" s="3">
        <v>80</v>
      </c>
      <c r="M147" s="4">
        <f t="shared" si="23"/>
        <v>5.5848928233225799</v>
      </c>
      <c r="N147" s="4">
        <v>0.62441000000000058</v>
      </c>
      <c r="O147" s="4">
        <f t="shared" si="24"/>
        <v>8.3846844550391486E-2</v>
      </c>
      <c r="P147" s="4">
        <f t="shared" si="25"/>
        <v>6.9540254714121147E-2</v>
      </c>
      <c r="Q147" s="4" t="s">
        <v>307</v>
      </c>
      <c r="R147" s="3" t="s">
        <v>118</v>
      </c>
      <c r="S147" s="3" t="s">
        <v>341</v>
      </c>
      <c r="T147" s="3" t="s">
        <v>8</v>
      </c>
      <c r="U147" s="3" t="s">
        <v>337</v>
      </c>
      <c r="V147" s="3" t="s">
        <v>332</v>
      </c>
      <c r="W147" s="3" t="s">
        <v>339</v>
      </c>
      <c r="X147" s="3" t="s">
        <v>166</v>
      </c>
      <c r="Y147" s="3">
        <v>25</v>
      </c>
      <c r="Z147" s="3">
        <v>0</v>
      </c>
      <c r="AA147" s="3">
        <v>7</v>
      </c>
      <c r="AB147" s="11" t="s">
        <v>397</v>
      </c>
    </row>
    <row r="148" spans="1:28">
      <c r="A148" s="3" t="s">
        <v>73</v>
      </c>
      <c r="B148" s="3" t="s">
        <v>72</v>
      </c>
      <c r="C148" s="3">
        <v>3</v>
      </c>
      <c r="D148" s="3" t="s">
        <v>21</v>
      </c>
      <c r="E148" s="5">
        <v>6.1</v>
      </c>
      <c r="F148" s="3">
        <v>2020</v>
      </c>
      <c r="G148" s="4">
        <v>2.4696099999999999</v>
      </c>
      <c r="H148" s="3">
        <v>80</v>
      </c>
      <c r="I148" s="4">
        <f t="shared" si="22"/>
        <v>3.5550797560673679</v>
      </c>
      <c r="J148" s="4">
        <v>0.39747000000000021</v>
      </c>
      <c r="K148" s="4">
        <v>3.5950600000000001</v>
      </c>
      <c r="L148" s="3">
        <v>80</v>
      </c>
      <c r="M148" s="4">
        <f t="shared" si="23"/>
        <v>3.6201046128530585</v>
      </c>
      <c r="N148" s="4">
        <v>0.40473999999999988</v>
      </c>
      <c r="O148" s="4">
        <f t="shared" si="24"/>
        <v>0.37550043744438838</v>
      </c>
      <c r="P148" s="4">
        <f t="shared" si="25"/>
        <v>3.8577879508705809E-2</v>
      </c>
      <c r="Q148" s="4" t="s">
        <v>307</v>
      </c>
      <c r="R148" s="3" t="s">
        <v>118</v>
      </c>
      <c r="S148" s="3" t="s">
        <v>341</v>
      </c>
      <c r="T148" s="3" t="s">
        <v>8</v>
      </c>
      <c r="U148" s="3" t="s">
        <v>337</v>
      </c>
      <c r="V148" s="3" t="s">
        <v>333</v>
      </c>
      <c r="W148" s="3" t="s">
        <v>339</v>
      </c>
      <c r="X148" s="3" t="s">
        <v>166</v>
      </c>
      <c r="Y148" s="3">
        <v>25</v>
      </c>
      <c r="Z148" s="3">
        <v>0</v>
      </c>
      <c r="AA148" s="3">
        <v>42</v>
      </c>
      <c r="AB148" s="11" t="s">
        <v>397</v>
      </c>
    </row>
    <row r="149" spans="1:28">
      <c r="A149" s="3" t="s">
        <v>73</v>
      </c>
      <c r="B149" s="3" t="s">
        <v>72</v>
      </c>
      <c r="C149" s="3">
        <v>4</v>
      </c>
      <c r="D149" s="3" t="s">
        <v>21</v>
      </c>
      <c r="E149" s="5">
        <v>6.1</v>
      </c>
      <c r="F149" s="3">
        <v>2020</v>
      </c>
      <c r="G149" s="4">
        <v>3.2182400000000002</v>
      </c>
      <c r="H149" s="3">
        <v>80</v>
      </c>
      <c r="I149" s="4">
        <f t="shared" si="22"/>
        <v>3.7577569575479459</v>
      </c>
      <c r="J149" s="4">
        <v>0.42012999999999989</v>
      </c>
      <c r="K149" s="4">
        <v>3.2404299999999999</v>
      </c>
      <c r="L149" s="3">
        <v>80</v>
      </c>
      <c r="M149" s="4">
        <f t="shared" si="23"/>
        <v>3.5390695093484674</v>
      </c>
      <c r="N149" s="4">
        <v>0.39568000000000003</v>
      </c>
      <c r="O149" s="4">
        <f t="shared" si="24"/>
        <v>6.871410773646257E-3</v>
      </c>
      <c r="P149" s="4">
        <f t="shared" si="25"/>
        <v>3.1952572040567992E-2</v>
      </c>
      <c r="Q149" s="4" t="s">
        <v>307</v>
      </c>
      <c r="R149" s="3" t="s">
        <v>118</v>
      </c>
      <c r="S149" s="3" t="s">
        <v>341</v>
      </c>
      <c r="T149" s="3" t="s">
        <v>8</v>
      </c>
      <c r="U149" s="3" t="s">
        <v>337</v>
      </c>
      <c r="V149" s="3" t="s">
        <v>333</v>
      </c>
      <c r="W149" s="3" t="s">
        <v>339</v>
      </c>
      <c r="X149" s="3" t="s">
        <v>166</v>
      </c>
      <c r="Y149" s="3">
        <v>25</v>
      </c>
      <c r="Z149" s="3">
        <v>0</v>
      </c>
      <c r="AA149" s="3">
        <v>42</v>
      </c>
      <c r="AB149" s="11" t="s">
        <v>397</v>
      </c>
    </row>
    <row r="150" spans="1:28">
      <c r="A150" s="3" t="s">
        <v>74</v>
      </c>
      <c r="B150" s="3" t="s">
        <v>75</v>
      </c>
      <c r="C150" s="3">
        <v>1</v>
      </c>
      <c r="D150" s="3" t="s">
        <v>35</v>
      </c>
      <c r="E150" s="3">
        <v>5.7</v>
      </c>
      <c r="F150" s="3">
        <v>2003</v>
      </c>
      <c r="G150" s="4">
        <v>1.43</v>
      </c>
      <c r="H150" s="3">
        <v>12</v>
      </c>
      <c r="I150" s="4">
        <f t="shared" si="22"/>
        <v>0.83138438763306099</v>
      </c>
      <c r="J150" s="4">
        <v>0.24</v>
      </c>
      <c r="K150" s="4">
        <v>1.45</v>
      </c>
      <c r="L150" s="3">
        <v>12</v>
      </c>
      <c r="M150" s="4">
        <f t="shared" si="23"/>
        <v>0.76210235533030601</v>
      </c>
      <c r="N150" s="4">
        <v>0.22</v>
      </c>
      <c r="O150" s="4">
        <f t="shared" si="24"/>
        <v>1.3889112160667093E-2</v>
      </c>
      <c r="P150" s="4">
        <f t="shared" si="25"/>
        <v>5.1187850590160525E-2</v>
      </c>
      <c r="Q150" s="4" t="s">
        <v>295</v>
      </c>
      <c r="R150" s="3" t="s">
        <v>170</v>
      </c>
      <c r="S150" s="3" t="s">
        <v>221</v>
      </c>
      <c r="T150" s="3" t="s">
        <v>8</v>
      </c>
      <c r="U150" s="3" t="s">
        <v>337</v>
      </c>
      <c r="V150" s="3" t="s">
        <v>333</v>
      </c>
      <c r="W150" s="3" t="s">
        <v>360</v>
      </c>
      <c r="X150" s="3" t="s">
        <v>102</v>
      </c>
      <c r="Y150" s="3" t="s">
        <v>363</v>
      </c>
      <c r="Z150" s="3">
        <v>0</v>
      </c>
      <c r="AA150" s="3">
        <v>60</v>
      </c>
      <c r="AB150" s="11" t="s">
        <v>397</v>
      </c>
    </row>
    <row r="151" spans="1:28">
      <c r="A151" s="3" t="s">
        <v>76</v>
      </c>
      <c r="B151" s="3" t="s">
        <v>77</v>
      </c>
      <c r="C151" s="3">
        <v>1</v>
      </c>
      <c r="D151" s="3" t="s">
        <v>155</v>
      </c>
      <c r="E151" s="3">
        <v>2.8</v>
      </c>
      <c r="F151" s="3">
        <v>2011</v>
      </c>
      <c r="G151" s="4">
        <v>2129.8428100000001</v>
      </c>
      <c r="H151" s="3">
        <v>5</v>
      </c>
      <c r="I151" s="4">
        <f t="shared" si="22"/>
        <v>577.96746923813998</v>
      </c>
      <c r="J151" s="4">
        <v>258.47490999999991</v>
      </c>
      <c r="K151" s="4">
        <v>2053.9258500000001</v>
      </c>
      <c r="L151" s="3">
        <v>5</v>
      </c>
      <c r="M151" s="4">
        <f t="shared" si="23"/>
        <v>347.76572439872228</v>
      </c>
      <c r="N151" s="4">
        <v>155.52556000000004</v>
      </c>
      <c r="O151" s="4">
        <f t="shared" si="24"/>
        <v>-3.6295168313430305E-2</v>
      </c>
      <c r="P151" s="4">
        <f t="shared" si="25"/>
        <v>2.0461616569536004E-2</v>
      </c>
      <c r="Q151" s="4" t="s">
        <v>294</v>
      </c>
      <c r="R151" s="3" t="s">
        <v>119</v>
      </c>
      <c r="S151" s="3" t="s">
        <v>221</v>
      </c>
      <c r="T151" s="3" t="s">
        <v>97</v>
      </c>
      <c r="U151" s="3" t="s">
        <v>337</v>
      </c>
      <c r="V151" s="3" t="s">
        <v>333</v>
      </c>
      <c r="W151" s="3" t="s">
        <v>360</v>
      </c>
      <c r="X151" s="3" t="s">
        <v>102</v>
      </c>
      <c r="Y151" s="3" t="s">
        <v>363</v>
      </c>
      <c r="Z151" s="3">
        <v>0</v>
      </c>
      <c r="AA151" s="3">
        <v>21</v>
      </c>
      <c r="AB151" s="11" t="s">
        <v>397</v>
      </c>
    </row>
    <row r="152" spans="1:28">
      <c r="A152" s="3" t="s">
        <v>76</v>
      </c>
      <c r="B152" s="3" t="s">
        <v>77</v>
      </c>
      <c r="C152" s="3">
        <v>2</v>
      </c>
      <c r="D152" s="3" t="s">
        <v>155</v>
      </c>
      <c r="E152" s="3">
        <v>2.8</v>
      </c>
      <c r="F152" s="3">
        <v>2011</v>
      </c>
      <c r="G152" s="4">
        <v>3584.7903299999998</v>
      </c>
      <c r="H152" s="3">
        <v>5</v>
      </c>
      <c r="I152" s="4">
        <f t="shared" si="22"/>
        <v>641.96972741636455</v>
      </c>
      <c r="J152" s="4">
        <v>287.09759000000031</v>
      </c>
      <c r="K152" s="4">
        <v>3793.5885699999999</v>
      </c>
      <c r="L152" s="3">
        <v>5</v>
      </c>
      <c r="M152" s="4">
        <f t="shared" si="23"/>
        <v>846.12434373103963</v>
      </c>
      <c r="N152" s="4">
        <v>378.39831000000049</v>
      </c>
      <c r="O152" s="4">
        <f t="shared" si="24"/>
        <v>5.6612436369653726E-2</v>
      </c>
      <c r="P152" s="4">
        <f t="shared" si="25"/>
        <v>1.6363462250110841E-2</v>
      </c>
      <c r="Q152" s="4" t="s">
        <v>294</v>
      </c>
      <c r="R152" s="3" t="s">
        <v>120</v>
      </c>
      <c r="S152" s="3" t="s">
        <v>221</v>
      </c>
      <c r="T152" s="3" t="s">
        <v>97</v>
      </c>
      <c r="U152" s="3" t="s">
        <v>337</v>
      </c>
      <c r="V152" s="3" t="s">
        <v>333</v>
      </c>
      <c r="W152" s="3" t="s">
        <v>360</v>
      </c>
      <c r="X152" s="3" t="s">
        <v>102</v>
      </c>
      <c r="Y152" s="3" t="s">
        <v>363</v>
      </c>
      <c r="Z152" s="3">
        <v>0</v>
      </c>
      <c r="AA152" s="3">
        <v>21</v>
      </c>
      <c r="AB152" s="11" t="s">
        <v>397</v>
      </c>
    </row>
    <row r="153" spans="1:28">
      <c r="A153" s="3" t="s">
        <v>76</v>
      </c>
      <c r="B153" s="3" t="s">
        <v>77</v>
      </c>
      <c r="C153" s="3">
        <v>3</v>
      </c>
      <c r="D153" s="3" t="s">
        <v>155</v>
      </c>
      <c r="E153" s="3">
        <v>2.8</v>
      </c>
      <c r="F153" s="3">
        <v>2011</v>
      </c>
      <c r="G153" s="4">
        <v>3303.8555299999998</v>
      </c>
      <c r="H153" s="3">
        <v>5</v>
      </c>
      <c r="I153" s="4">
        <f t="shared" si="22"/>
        <v>677.08534142725659</v>
      </c>
      <c r="J153" s="4">
        <v>302.80177000000003</v>
      </c>
      <c r="K153" s="4">
        <v>4040.55953</v>
      </c>
      <c r="L153" s="3">
        <v>5</v>
      </c>
      <c r="M153" s="4">
        <f t="shared" si="23"/>
        <v>225.23308999001461</v>
      </c>
      <c r="N153" s="4">
        <v>100.72730000000001</v>
      </c>
      <c r="O153" s="4">
        <f t="shared" si="24"/>
        <v>0.20129305099210795</v>
      </c>
      <c r="P153" s="4">
        <f t="shared" si="25"/>
        <v>9.0213691312105611E-3</v>
      </c>
      <c r="Q153" s="4" t="s">
        <v>294</v>
      </c>
      <c r="R153" s="3" t="s">
        <v>121</v>
      </c>
      <c r="S153" s="3" t="s">
        <v>221</v>
      </c>
      <c r="T153" s="3" t="s">
        <v>97</v>
      </c>
      <c r="U153" s="3" t="s">
        <v>337</v>
      </c>
      <c r="V153" s="3" t="s">
        <v>333</v>
      </c>
      <c r="W153" s="3" t="s">
        <v>360</v>
      </c>
      <c r="X153" s="3" t="s">
        <v>102</v>
      </c>
      <c r="Y153" s="3" t="s">
        <v>363</v>
      </c>
      <c r="Z153" s="3">
        <v>0</v>
      </c>
      <c r="AA153" s="3">
        <v>21</v>
      </c>
      <c r="AB153" s="11" t="s">
        <v>397</v>
      </c>
    </row>
    <row r="154" spans="1:28">
      <c r="A154" s="3" t="s">
        <v>76</v>
      </c>
      <c r="B154" s="3" t="s">
        <v>77</v>
      </c>
      <c r="C154" s="3">
        <v>4</v>
      </c>
      <c r="D154" s="3" t="s">
        <v>155</v>
      </c>
      <c r="E154" s="3">
        <v>2.8</v>
      </c>
      <c r="F154" s="3">
        <v>2011</v>
      </c>
      <c r="G154" s="4">
        <v>3906.7726899999998</v>
      </c>
      <c r="H154" s="3">
        <v>5</v>
      </c>
      <c r="I154" s="4">
        <f t="shared" si="22"/>
        <v>1052.1230229460778</v>
      </c>
      <c r="J154" s="4">
        <v>470.52372000000014</v>
      </c>
      <c r="K154" s="4">
        <v>3984.7363099999998</v>
      </c>
      <c r="L154" s="3">
        <v>5</v>
      </c>
      <c r="M154" s="4">
        <f t="shared" si="23"/>
        <v>557.12653306405093</v>
      </c>
      <c r="N154" s="4">
        <v>249.1545600000004</v>
      </c>
      <c r="O154" s="4">
        <f t="shared" si="24"/>
        <v>1.9759505221908374E-2</v>
      </c>
      <c r="P154" s="4">
        <f>(M154^2)/(L154*(K154^2)) + (I154^2)/(H154*(G154^2))</f>
        <v>1.8414957038735077E-2</v>
      </c>
      <c r="Q154" s="4" t="s">
        <v>294</v>
      </c>
      <c r="R154" s="3" t="s">
        <v>122</v>
      </c>
      <c r="S154" s="3" t="s">
        <v>221</v>
      </c>
      <c r="T154" s="3" t="s">
        <v>97</v>
      </c>
      <c r="U154" s="3" t="s">
        <v>337</v>
      </c>
      <c r="V154" s="3" t="s">
        <v>333</v>
      </c>
      <c r="W154" s="3" t="s">
        <v>360</v>
      </c>
      <c r="X154" s="3" t="s">
        <v>102</v>
      </c>
      <c r="Y154" s="3" t="s">
        <v>363</v>
      </c>
      <c r="Z154" s="3">
        <v>0</v>
      </c>
      <c r="AA154" s="3">
        <v>21</v>
      </c>
      <c r="AB154" s="11" t="s">
        <v>397</v>
      </c>
    </row>
    <row r="155" spans="1:28">
      <c r="A155" s="3" t="s">
        <v>78</v>
      </c>
      <c r="B155" s="3" t="s">
        <v>79</v>
      </c>
      <c r="C155" s="3">
        <v>1</v>
      </c>
      <c r="D155" s="3" t="s">
        <v>156</v>
      </c>
      <c r="E155" s="3">
        <v>1.6</v>
      </c>
      <c r="F155" s="3">
        <v>2011</v>
      </c>
      <c r="G155" s="4">
        <v>3.2855099999999999</v>
      </c>
      <c r="H155" s="3">
        <v>6</v>
      </c>
      <c r="I155" s="4">
        <f t="shared" si="22"/>
        <v>1.7069269272584575</v>
      </c>
      <c r="J155" s="4">
        <v>0.69684999999999997</v>
      </c>
      <c r="K155" s="4">
        <v>4.0357399999999997</v>
      </c>
      <c r="L155" s="3">
        <v>6</v>
      </c>
      <c r="M155" s="4">
        <f t="shared" si="23"/>
        <v>1.2402991312582627</v>
      </c>
      <c r="N155" s="4">
        <v>0.5063500000000003</v>
      </c>
      <c r="O155" s="4">
        <f t="shared" ref="O155:O160" si="26">LN(K155/G155)</f>
        <v>0.20566778917033843</v>
      </c>
      <c r="P155" s="4">
        <f>(M155^2)/(L155*(K155^2)) + (I155^2)/(H155*(G155^2))</f>
        <v>6.0727380579009976E-2</v>
      </c>
      <c r="Q155" s="4" t="s">
        <v>308</v>
      </c>
      <c r="R155" s="3" t="s">
        <v>280</v>
      </c>
      <c r="S155" s="3" t="s">
        <v>222</v>
      </c>
      <c r="T155" s="3" t="s">
        <v>8</v>
      </c>
      <c r="U155" s="3" t="s">
        <v>337</v>
      </c>
      <c r="V155" s="3" t="s">
        <v>332</v>
      </c>
      <c r="W155" s="3" t="s">
        <v>329</v>
      </c>
      <c r="X155" s="3" t="s">
        <v>100</v>
      </c>
      <c r="Y155" s="3" t="s">
        <v>363</v>
      </c>
      <c r="Z155" s="3">
        <v>0</v>
      </c>
      <c r="AA155" s="3">
        <v>5</v>
      </c>
      <c r="AB155" s="11" t="s">
        <v>397</v>
      </c>
    </row>
    <row r="156" spans="1:28">
      <c r="A156" s="3" t="s">
        <v>78</v>
      </c>
      <c r="B156" s="3" t="s">
        <v>79</v>
      </c>
      <c r="C156" s="3">
        <v>2</v>
      </c>
      <c r="D156" s="3" t="s">
        <v>156</v>
      </c>
      <c r="E156" s="3">
        <v>1.6</v>
      </c>
      <c r="F156" s="3">
        <v>2011</v>
      </c>
      <c r="G156" s="4">
        <v>3.2855099999999999</v>
      </c>
      <c r="H156" s="3">
        <v>6</v>
      </c>
      <c r="I156" s="4">
        <f t="shared" si="22"/>
        <v>1.7069269272584575</v>
      </c>
      <c r="J156" s="4">
        <v>0.69684999999999997</v>
      </c>
      <c r="K156" s="4">
        <v>5.1116799999999998</v>
      </c>
      <c r="L156" s="3">
        <v>6</v>
      </c>
      <c r="M156" s="4">
        <f t="shared" si="23"/>
        <v>1.9888387017553733</v>
      </c>
      <c r="N156" s="4">
        <v>0.81193999999999988</v>
      </c>
      <c r="O156" s="4">
        <f t="shared" si="26"/>
        <v>0.44200622627891728</v>
      </c>
      <c r="P156" s="4">
        <f>(M156^2)/(L156*(K156^2)) + (I156^2)/(H156*(G156^2))</f>
        <v>7.0215740831810342E-2</v>
      </c>
      <c r="Q156" s="4" t="s">
        <v>308</v>
      </c>
      <c r="R156" s="3" t="s">
        <v>174</v>
      </c>
      <c r="S156" s="3" t="s">
        <v>222</v>
      </c>
      <c r="T156" s="3" t="s">
        <v>8</v>
      </c>
      <c r="U156" s="3" t="s">
        <v>337</v>
      </c>
      <c r="V156" s="3" t="s">
        <v>332</v>
      </c>
      <c r="W156" s="3" t="s">
        <v>329</v>
      </c>
      <c r="X156" s="3" t="s">
        <v>100</v>
      </c>
      <c r="Y156" s="3" t="s">
        <v>363</v>
      </c>
      <c r="Z156" s="3">
        <v>0</v>
      </c>
      <c r="AA156" s="3">
        <v>5</v>
      </c>
      <c r="AB156" s="11" t="s">
        <v>397</v>
      </c>
    </row>
    <row r="157" spans="1:28">
      <c r="A157" s="3" t="s">
        <v>78</v>
      </c>
      <c r="B157" s="3" t="s">
        <v>79</v>
      </c>
      <c r="C157" s="3">
        <v>3</v>
      </c>
      <c r="D157" s="3" t="s">
        <v>156</v>
      </c>
      <c r="E157" s="3">
        <v>1.6</v>
      </c>
      <c r="F157" s="3">
        <v>2011</v>
      </c>
      <c r="G157" s="4">
        <v>5.1913299999999998</v>
      </c>
      <c r="H157" s="3">
        <v>6</v>
      </c>
      <c r="I157" s="4">
        <f t="shared" si="22"/>
        <v>1.4335148821689996</v>
      </c>
      <c r="J157" s="4">
        <v>0.58523000000000014</v>
      </c>
      <c r="K157" s="4">
        <v>5.2241499999999998</v>
      </c>
      <c r="L157" s="3">
        <v>6</v>
      </c>
      <c r="M157" s="4">
        <f t="shared" si="23"/>
        <v>1.8903447191980614</v>
      </c>
      <c r="N157" s="4">
        <v>0.77172999999999981</v>
      </c>
      <c r="O157" s="4">
        <f t="shared" si="26"/>
        <v>6.3021788006266382E-3</v>
      </c>
      <c r="P157" s="4">
        <f>(M157^2)/(L157*(K157^2)) + (I157^2)/(H157*(G157^2))</f>
        <v>3.4530794810583944E-2</v>
      </c>
      <c r="Q157" s="4" t="s">
        <v>308</v>
      </c>
      <c r="R157" s="3" t="s">
        <v>174</v>
      </c>
      <c r="S157" s="3" t="s">
        <v>222</v>
      </c>
      <c r="T157" s="3" t="s">
        <v>8</v>
      </c>
      <c r="U157" s="3" t="s">
        <v>337</v>
      </c>
      <c r="V157" s="3" t="s">
        <v>332</v>
      </c>
      <c r="W157" s="3" t="s">
        <v>329</v>
      </c>
      <c r="X157" s="3" t="s">
        <v>100</v>
      </c>
      <c r="Y157" s="3" t="s">
        <v>363</v>
      </c>
      <c r="Z157" s="3">
        <v>0</v>
      </c>
      <c r="AA157" s="3">
        <v>5</v>
      </c>
      <c r="AB157" s="11" t="s">
        <v>397</v>
      </c>
    </row>
    <row r="158" spans="1:28">
      <c r="A158" s="3" t="s">
        <v>78</v>
      </c>
      <c r="B158" s="3" t="s">
        <v>79</v>
      </c>
      <c r="C158" s="3">
        <v>4</v>
      </c>
      <c r="D158" s="3" t="s">
        <v>156</v>
      </c>
      <c r="E158" s="3">
        <v>1.6</v>
      </c>
      <c r="F158" s="3">
        <v>2011</v>
      </c>
      <c r="G158" s="4">
        <v>5.1913299999999998</v>
      </c>
      <c r="H158" s="3">
        <v>6</v>
      </c>
      <c r="I158" s="4">
        <f t="shared" si="22"/>
        <v>1.4335148821689996</v>
      </c>
      <c r="J158" s="4">
        <v>0.58523000000000014</v>
      </c>
      <c r="K158" s="4">
        <v>6.0577399999999999</v>
      </c>
      <c r="L158" s="3">
        <v>6</v>
      </c>
      <c r="M158" s="4">
        <f t="shared" si="23"/>
        <v>1.3367110475342072</v>
      </c>
      <c r="N158" s="4">
        <v>0.5457099999999997</v>
      </c>
      <c r="O158" s="4">
        <f t="shared" si="26"/>
        <v>0.15434686683840884</v>
      </c>
      <c r="P158" s="4">
        <f t="shared" ref="P158:P160" si="27">(M158^2)/(L158*(K158^2)) + (I158^2)/(H158*(G158^2))</f>
        <v>2.0823809042914303E-2</v>
      </c>
      <c r="Q158" s="4" t="s">
        <v>308</v>
      </c>
      <c r="R158" s="3" t="s">
        <v>174</v>
      </c>
      <c r="S158" s="3" t="s">
        <v>222</v>
      </c>
      <c r="T158" s="3" t="s">
        <v>8</v>
      </c>
      <c r="U158" s="3" t="s">
        <v>337</v>
      </c>
      <c r="V158" s="3" t="s">
        <v>332</v>
      </c>
      <c r="W158" s="3" t="s">
        <v>329</v>
      </c>
      <c r="X158" s="3" t="s">
        <v>100</v>
      </c>
      <c r="Y158" s="3" t="s">
        <v>363</v>
      </c>
      <c r="Z158" s="3">
        <v>0</v>
      </c>
      <c r="AA158" s="3">
        <v>5</v>
      </c>
      <c r="AB158" s="11" t="s">
        <v>397</v>
      </c>
    </row>
    <row r="159" spans="1:28">
      <c r="A159" s="3" t="s">
        <v>78</v>
      </c>
      <c r="B159" s="3" t="s">
        <v>79</v>
      </c>
      <c r="C159" s="3">
        <v>5</v>
      </c>
      <c r="D159" s="3" t="s">
        <v>156</v>
      </c>
      <c r="E159" s="3">
        <v>1.6</v>
      </c>
      <c r="F159" s="3">
        <v>2011</v>
      </c>
      <c r="G159" s="4">
        <v>6.1372400000000003</v>
      </c>
      <c r="H159" s="3">
        <v>6</v>
      </c>
      <c r="I159" s="4">
        <f t="shared" si="22"/>
        <v>1.6661674179385448</v>
      </c>
      <c r="J159" s="4">
        <v>0.68020999999999976</v>
      </c>
      <c r="K159" s="4">
        <v>5.9398</v>
      </c>
      <c r="L159" s="3">
        <v>6</v>
      </c>
      <c r="M159" s="4">
        <f t="shared" si="23"/>
        <v>1.9027881270914009</v>
      </c>
      <c r="N159" s="4">
        <v>0.77681000000000022</v>
      </c>
      <c r="O159" s="4">
        <f t="shared" si="26"/>
        <v>-3.2699666923828412E-2</v>
      </c>
      <c r="P159" s="4">
        <f t="shared" si="27"/>
        <v>2.9387538655256853E-2</v>
      </c>
      <c r="Q159" s="4" t="s">
        <v>308</v>
      </c>
      <c r="R159" s="3" t="s">
        <v>174</v>
      </c>
      <c r="S159" s="3" t="s">
        <v>222</v>
      </c>
      <c r="T159" s="3" t="s">
        <v>8</v>
      </c>
      <c r="U159" s="3" t="s">
        <v>337</v>
      </c>
      <c r="V159" s="3" t="s">
        <v>332</v>
      </c>
      <c r="W159" s="3" t="s">
        <v>329</v>
      </c>
      <c r="X159" s="3" t="s">
        <v>100</v>
      </c>
      <c r="Y159" s="3" t="s">
        <v>363</v>
      </c>
      <c r="Z159" s="3">
        <v>0</v>
      </c>
      <c r="AA159" s="3">
        <v>5</v>
      </c>
      <c r="AB159" s="11" t="s">
        <v>397</v>
      </c>
    </row>
    <row r="160" spans="1:28">
      <c r="A160" s="3" t="s">
        <v>78</v>
      </c>
      <c r="B160" s="3" t="s">
        <v>79</v>
      </c>
      <c r="C160" s="3">
        <v>6</v>
      </c>
      <c r="D160" s="3" t="s">
        <v>156</v>
      </c>
      <c r="E160" s="3">
        <v>1.6</v>
      </c>
      <c r="F160" s="3">
        <v>2011</v>
      </c>
      <c r="G160" s="4">
        <v>6.1372400000000003</v>
      </c>
      <c r="H160" s="3">
        <v>6</v>
      </c>
      <c r="I160" s="4">
        <f t="shared" si="22"/>
        <v>1.6661674179385448</v>
      </c>
      <c r="J160" s="4">
        <v>0.68020999999999976</v>
      </c>
      <c r="K160" s="4">
        <v>5.9854000000000003</v>
      </c>
      <c r="L160" s="3">
        <v>6</v>
      </c>
      <c r="M160" s="4">
        <f t="shared" si="23"/>
        <v>1.0500962527311486</v>
      </c>
      <c r="N160" s="4">
        <v>0.42870000000000008</v>
      </c>
      <c r="O160" s="4">
        <f t="shared" si="26"/>
        <v>-2.5051959170158424E-2</v>
      </c>
      <c r="P160" s="4">
        <f t="shared" si="27"/>
        <v>1.7414038398017438E-2</v>
      </c>
      <c r="Q160" s="4" t="s">
        <v>308</v>
      </c>
      <c r="R160" s="3" t="s">
        <v>174</v>
      </c>
      <c r="S160" s="3" t="s">
        <v>222</v>
      </c>
      <c r="T160" s="3" t="s">
        <v>8</v>
      </c>
      <c r="U160" s="3" t="s">
        <v>337</v>
      </c>
      <c r="V160" s="3" t="s">
        <v>332</v>
      </c>
      <c r="W160" s="3" t="s">
        <v>329</v>
      </c>
      <c r="X160" s="3" t="s">
        <v>100</v>
      </c>
      <c r="Y160" s="3" t="s">
        <v>363</v>
      </c>
      <c r="Z160" s="3">
        <v>0</v>
      </c>
      <c r="AA160" s="3">
        <v>5</v>
      </c>
      <c r="AB160" s="11" t="s">
        <v>397</v>
      </c>
    </row>
    <row r="161" spans="1:28">
      <c r="A161" s="3" t="s">
        <v>80</v>
      </c>
      <c r="B161" s="3" t="s">
        <v>81</v>
      </c>
      <c r="C161" s="3">
        <v>1</v>
      </c>
      <c r="D161" s="3" t="s">
        <v>158</v>
      </c>
      <c r="E161" s="3">
        <v>3</v>
      </c>
      <c r="F161" s="3">
        <v>2019</v>
      </c>
      <c r="G161" s="4">
        <v>5.4496954757975784</v>
      </c>
      <c r="H161" s="3">
        <v>3</v>
      </c>
      <c r="I161" s="4">
        <v>2.0785230551338514</v>
      </c>
      <c r="J161" s="4">
        <f t="shared" ref="J161:J175" si="28">I161 / SQRT(H161)</f>
        <v>1.2000358453983726</v>
      </c>
      <c r="K161" s="4">
        <v>5.2698132131070246</v>
      </c>
      <c r="L161" s="3">
        <v>5</v>
      </c>
      <c r="M161" s="4">
        <v>1.1156292519683029</v>
      </c>
      <c r="N161" s="4">
        <f t="shared" ref="N161:N175" si="29">M161 / SQRT(L161)</f>
        <v>0.49892456901767324</v>
      </c>
      <c r="O161" s="4">
        <f t="shared" si="24"/>
        <v>-3.3564812621651029E-2</v>
      </c>
      <c r="P161" s="4">
        <f t="shared" si="25"/>
        <v>5.7452618001491311E-2</v>
      </c>
      <c r="Q161" s="4" t="s">
        <v>290</v>
      </c>
      <c r="R161" s="3" t="s">
        <v>96</v>
      </c>
      <c r="S161" s="3" t="s">
        <v>221</v>
      </c>
      <c r="T161" s="3" t="s">
        <v>97</v>
      </c>
      <c r="U161" s="3" t="s">
        <v>337</v>
      </c>
      <c r="V161" s="3" t="s">
        <v>332</v>
      </c>
      <c r="W161" s="3" t="s">
        <v>329</v>
      </c>
      <c r="X161" s="3" t="s">
        <v>100</v>
      </c>
      <c r="Y161" s="3">
        <v>25</v>
      </c>
      <c r="Z161" s="3">
        <v>0</v>
      </c>
      <c r="AA161" s="3">
        <v>3</v>
      </c>
      <c r="AB161" s="11" t="s">
        <v>397</v>
      </c>
    </row>
    <row r="162" spans="1:28">
      <c r="A162" s="3" t="s">
        <v>80</v>
      </c>
      <c r="B162" s="3" t="s">
        <v>81</v>
      </c>
      <c r="C162" s="3">
        <v>2</v>
      </c>
      <c r="D162" s="3" t="s">
        <v>158</v>
      </c>
      <c r="E162" s="3">
        <v>3</v>
      </c>
      <c r="F162" s="3">
        <v>2019</v>
      </c>
      <c r="G162" s="4">
        <v>7.1842050839816132</v>
      </c>
      <c r="H162" s="3">
        <v>4</v>
      </c>
      <c r="I162" s="4">
        <v>2.2926454038759689</v>
      </c>
      <c r="J162" s="4">
        <f t="shared" si="28"/>
        <v>1.1463227019379845</v>
      </c>
      <c r="K162" s="4">
        <v>6.1437456447430447</v>
      </c>
      <c r="L162" s="3">
        <v>5</v>
      </c>
      <c r="M162" s="4">
        <v>0.62708508652220996</v>
      </c>
      <c r="N162" s="4">
        <f t="shared" si="29"/>
        <v>0.28044097622799974</v>
      </c>
      <c r="O162" s="4">
        <f t="shared" si="24"/>
        <v>-0.15645028189645943</v>
      </c>
      <c r="P162" s="4">
        <f t="shared" si="25"/>
        <v>2.7543489750564906E-2</v>
      </c>
      <c r="Q162" s="4" t="s">
        <v>290</v>
      </c>
      <c r="R162" s="3" t="s">
        <v>96</v>
      </c>
      <c r="S162" s="3" t="s">
        <v>221</v>
      </c>
      <c r="T162" s="3" t="s">
        <v>97</v>
      </c>
      <c r="U162" s="3" t="s">
        <v>337</v>
      </c>
      <c r="V162" s="3" t="s">
        <v>332</v>
      </c>
      <c r="W162" s="3" t="s">
        <v>329</v>
      </c>
      <c r="X162" s="3" t="s">
        <v>100</v>
      </c>
      <c r="Y162" s="3">
        <v>25</v>
      </c>
      <c r="Z162" s="3">
        <v>0</v>
      </c>
      <c r="AA162" s="3">
        <v>6</v>
      </c>
      <c r="AB162" s="11" t="s">
        <v>397</v>
      </c>
    </row>
    <row r="163" spans="1:28">
      <c r="A163" s="3" t="s">
        <v>80</v>
      </c>
      <c r="B163" s="3" t="s">
        <v>81</v>
      </c>
      <c r="C163" s="3">
        <v>3</v>
      </c>
      <c r="D163" s="3" t="s">
        <v>158</v>
      </c>
      <c r="E163" s="3">
        <v>3</v>
      </c>
      <c r="F163" s="3">
        <v>2019</v>
      </c>
      <c r="G163" s="4">
        <v>4.9746547398043379</v>
      </c>
      <c r="H163" s="3">
        <v>8</v>
      </c>
      <c r="I163" s="4">
        <v>1.9475212728237326</v>
      </c>
      <c r="J163" s="4">
        <f t="shared" si="28"/>
        <v>0.68855274925935872</v>
      </c>
      <c r="K163" s="4">
        <v>7.4011159712399834</v>
      </c>
      <c r="L163" s="3">
        <v>5</v>
      </c>
      <c r="M163" s="4">
        <v>2.3666439439336213</v>
      </c>
      <c r="N163" s="4">
        <f t="shared" si="29"/>
        <v>1.0583953474347556</v>
      </c>
      <c r="O163" s="4">
        <f t="shared" si="24"/>
        <v>0.39727482659619728</v>
      </c>
      <c r="P163" s="4">
        <f t="shared" si="25"/>
        <v>3.960831037119121E-2</v>
      </c>
      <c r="Q163" s="4" t="s">
        <v>290</v>
      </c>
      <c r="R163" s="3" t="s">
        <v>96</v>
      </c>
      <c r="S163" s="3" t="s">
        <v>221</v>
      </c>
      <c r="T163" s="3" t="s">
        <v>97</v>
      </c>
      <c r="U163" s="3" t="s">
        <v>337</v>
      </c>
      <c r="V163" s="3" t="s">
        <v>332</v>
      </c>
      <c r="W163" s="3" t="s">
        <v>329</v>
      </c>
      <c r="X163" s="3" t="s">
        <v>100</v>
      </c>
      <c r="Y163" s="3">
        <v>25</v>
      </c>
      <c r="Z163" s="3">
        <v>0</v>
      </c>
      <c r="AA163" s="3">
        <v>10</v>
      </c>
      <c r="AB163" s="11" t="s">
        <v>397</v>
      </c>
    </row>
    <row r="164" spans="1:28">
      <c r="A164" s="3" t="s">
        <v>80</v>
      </c>
      <c r="B164" s="3" t="s">
        <v>81</v>
      </c>
      <c r="C164" s="3">
        <v>4</v>
      </c>
      <c r="D164" s="3" t="s">
        <v>158</v>
      </c>
      <c r="E164" s="3">
        <v>3</v>
      </c>
      <c r="F164" s="3">
        <v>2019</v>
      </c>
      <c r="G164" s="4">
        <v>5.4496954757975784</v>
      </c>
      <c r="H164" s="3">
        <v>3</v>
      </c>
      <c r="I164" s="4">
        <v>2.0785230551338514</v>
      </c>
      <c r="J164" s="4">
        <f t="shared" si="28"/>
        <v>1.2000358453983726</v>
      </c>
      <c r="K164" s="4">
        <v>6.0053500707213585</v>
      </c>
      <c r="L164" s="3">
        <v>5</v>
      </c>
      <c r="M164" s="4">
        <v>1.9325544794088705</v>
      </c>
      <c r="N164" s="4">
        <f t="shared" si="29"/>
        <v>0.86426463723599034</v>
      </c>
      <c r="O164" s="4">
        <f t="shared" si="24"/>
        <v>9.7091019258959813E-2</v>
      </c>
      <c r="P164" s="4">
        <f t="shared" si="25"/>
        <v>6.9200834229733138E-2</v>
      </c>
      <c r="Q164" s="4" t="s">
        <v>290</v>
      </c>
      <c r="R164" s="3" t="s">
        <v>96</v>
      </c>
      <c r="S164" s="3" t="s">
        <v>221</v>
      </c>
      <c r="T164" s="3" t="s">
        <v>97</v>
      </c>
      <c r="U164" s="3" t="s">
        <v>337</v>
      </c>
      <c r="V164" s="3" t="s">
        <v>332</v>
      </c>
      <c r="W164" s="3" t="s">
        <v>329</v>
      </c>
      <c r="X164" s="3" t="s">
        <v>124</v>
      </c>
      <c r="Y164" s="3">
        <v>25</v>
      </c>
      <c r="Z164" s="3">
        <v>0</v>
      </c>
      <c r="AA164" s="3">
        <v>3</v>
      </c>
      <c r="AB164" s="11" t="s">
        <v>397</v>
      </c>
    </row>
    <row r="165" spans="1:28">
      <c r="A165" s="3" t="s">
        <v>80</v>
      </c>
      <c r="B165" s="3" t="s">
        <v>81</v>
      </c>
      <c r="C165" s="3">
        <v>5</v>
      </c>
      <c r="D165" s="3" t="s">
        <v>158</v>
      </c>
      <c r="E165" s="3">
        <v>3</v>
      </c>
      <c r="F165" s="3">
        <v>2019</v>
      </c>
      <c r="G165" s="4">
        <v>7.1842050839816132</v>
      </c>
      <c r="H165" s="3">
        <v>4</v>
      </c>
      <c r="I165" s="4">
        <v>2.2926454038759689</v>
      </c>
      <c r="J165" s="4">
        <f t="shared" si="28"/>
        <v>1.1463227019379845</v>
      </c>
      <c r="K165" s="4">
        <v>5.8294870975617972</v>
      </c>
      <c r="L165" s="3">
        <v>7</v>
      </c>
      <c r="M165" s="4">
        <v>1.4437803921489634</v>
      </c>
      <c r="N165" s="4">
        <f t="shared" si="29"/>
        <v>0.54569769505963839</v>
      </c>
      <c r="O165" s="4">
        <f t="shared" si="24"/>
        <v>-0.20895585782951048</v>
      </c>
      <c r="P165" s="4">
        <f t="shared" si="25"/>
        <v>3.4222692580138409E-2</v>
      </c>
      <c r="Q165" s="4" t="s">
        <v>290</v>
      </c>
      <c r="R165" s="3" t="s">
        <v>96</v>
      </c>
      <c r="S165" s="3" t="s">
        <v>221</v>
      </c>
      <c r="T165" s="3" t="s">
        <v>97</v>
      </c>
      <c r="U165" s="3" t="s">
        <v>337</v>
      </c>
      <c r="V165" s="3" t="s">
        <v>332</v>
      </c>
      <c r="W165" s="3" t="s">
        <v>329</v>
      </c>
      <c r="X165" s="3" t="s">
        <v>124</v>
      </c>
      <c r="Y165" s="3">
        <v>25</v>
      </c>
      <c r="Z165" s="3">
        <v>0</v>
      </c>
      <c r="AA165" s="3">
        <v>6</v>
      </c>
      <c r="AB165" s="11" t="s">
        <v>397</v>
      </c>
    </row>
    <row r="166" spans="1:28">
      <c r="A166" s="3" t="s">
        <v>80</v>
      </c>
      <c r="B166" s="3" t="s">
        <v>81</v>
      </c>
      <c r="C166" s="3">
        <v>6</v>
      </c>
      <c r="D166" s="3" t="s">
        <v>158</v>
      </c>
      <c r="E166" s="3">
        <v>3</v>
      </c>
      <c r="F166" s="3">
        <v>2019</v>
      </c>
      <c r="G166" s="4">
        <v>4.9746547398043379</v>
      </c>
      <c r="H166" s="3">
        <v>8</v>
      </c>
      <c r="I166" s="4">
        <v>1.9475212728237326</v>
      </c>
      <c r="J166" s="4">
        <f t="shared" si="28"/>
        <v>0.68855274925935872</v>
      </c>
      <c r="K166" s="4">
        <v>6.284749557991514</v>
      </c>
      <c r="L166" s="3">
        <v>3</v>
      </c>
      <c r="M166" s="4">
        <v>1.5632634713012197</v>
      </c>
      <c r="N166" s="4">
        <f t="shared" si="29"/>
        <v>0.9025505859700681</v>
      </c>
      <c r="O166" s="4">
        <f t="shared" si="24"/>
        <v>0.23377002450530923</v>
      </c>
      <c r="P166" s="4">
        <f t="shared" si="25"/>
        <v>3.978165542004547E-2</v>
      </c>
      <c r="Q166" s="4" t="s">
        <v>290</v>
      </c>
      <c r="R166" s="3" t="s">
        <v>96</v>
      </c>
      <c r="S166" s="3" t="s">
        <v>221</v>
      </c>
      <c r="T166" s="3" t="s">
        <v>97</v>
      </c>
      <c r="U166" s="3" t="s">
        <v>337</v>
      </c>
      <c r="V166" s="3" t="s">
        <v>332</v>
      </c>
      <c r="W166" s="3" t="s">
        <v>329</v>
      </c>
      <c r="X166" s="3" t="s">
        <v>124</v>
      </c>
      <c r="Y166" s="3">
        <v>25</v>
      </c>
      <c r="Z166" s="3">
        <v>0</v>
      </c>
      <c r="AA166" s="3">
        <v>10</v>
      </c>
      <c r="AB166" s="11" t="s">
        <v>397</v>
      </c>
    </row>
    <row r="167" spans="1:28">
      <c r="A167" s="3" t="s">
        <v>80</v>
      </c>
      <c r="B167" s="3" t="s">
        <v>81</v>
      </c>
      <c r="C167" s="3">
        <v>7</v>
      </c>
      <c r="D167" s="3" t="s">
        <v>158</v>
      </c>
      <c r="E167" s="3">
        <v>3</v>
      </c>
      <c r="F167" s="3">
        <v>2019</v>
      </c>
      <c r="G167" s="4">
        <v>3.7064365349481401</v>
      </c>
      <c r="H167" s="3">
        <v>4</v>
      </c>
      <c r="I167" s="4">
        <v>1.0693431246009342</v>
      </c>
      <c r="J167" s="4">
        <f t="shared" si="28"/>
        <v>0.53467156230046708</v>
      </c>
      <c r="K167" s="4">
        <v>4.7847359072960876</v>
      </c>
      <c r="L167" s="3">
        <v>4</v>
      </c>
      <c r="M167" s="4">
        <v>1.0007966827492771</v>
      </c>
      <c r="N167" s="4">
        <f t="shared" si="29"/>
        <v>0.50039834137463857</v>
      </c>
      <c r="O167" s="4">
        <f t="shared" si="24"/>
        <v>0.25535991926251167</v>
      </c>
      <c r="P167" s="4">
        <f t="shared" si="25"/>
        <v>3.1746913176138397E-2</v>
      </c>
      <c r="Q167" s="4" t="s">
        <v>290</v>
      </c>
      <c r="R167" s="3" t="s">
        <v>96</v>
      </c>
      <c r="S167" s="3" t="s">
        <v>221</v>
      </c>
      <c r="T167" s="3" t="s">
        <v>97</v>
      </c>
      <c r="U167" s="3" t="s">
        <v>337</v>
      </c>
      <c r="V167" s="3" t="s">
        <v>332</v>
      </c>
      <c r="W167" s="3" t="s">
        <v>112</v>
      </c>
      <c r="X167" s="3" t="s">
        <v>99</v>
      </c>
      <c r="Y167" s="3">
        <v>25</v>
      </c>
      <c r="Z167" s="3">
        <v>1.5</v>
      </c>
      <c r="AA167" s="3">
        <v>3</v>
      </c>
      <c r="AB167" s="11" t="s">
        <v>397</v>
      </c>
    </row>
    <row r="168" spans="1:28">
      <c r="A168" s="3" t="s">
        <v>80</v>
      </c>
      <c r="B168" s="3" t="s">
        <v>81</v>
      </c>
      <c r="C168" s="3">
        <v>8</v>
      </c>
      <c r="D168" s="3" t="s">
        <v>158</v>
      </c>
      <c r="E168" s="3">
        <v>3</v>
      </c>
      <c r="F168" s="3">
        <v>2019</v>
      </c>
      <c r="G168" s="4">
        <v>5.8188046224265291</v>
      </c>
      <c r="H168" s="3">
        <v>6</v>
      </c>
      <c r="I168" s="4">
        <v>2.2918144285989941</v>
      </c>
      <c r="J168" s="4">
        <f t="shared" si="28"/>
        <v>0.93562932253595443</v>
      </c>
      <c r="K168" s="4">
        <v>4.5306687234794918</v>
      </c>
      <c r="L168" s="3">
        <v>5</v>
      </c>
      <c r="M168" s="4">
        <v>1.0495139657922492</v>
      </c>
      <c r="N168" s="4">
        <f t="shared" si="29"/>
        <v>0.46935691416937159</v>
      </c>
      <c r="O168" s="4">
        <f t="shared" si="24"/>
        <v>-0.25022529963483531</v>
      </c>
      <c r="P168" s="4">
        <f t="shared" si="25"/>
        <v>3.6586764066798477E-2</v>
      </c>
      <c r="Q168" s="4" t="s">
        <v>290</v>
      </c>
      <c r="R168" s="3" t="s">
        <v>96</v>
      </c>
      <c r="S168" s="3" t="s">
        <v>221</v>
      </c>
      <c r="T168" s="3" t="s">
        <v>97</v>
      </c>
      <c r="U168" s="3" t="s">
        <v>337</v>
      </c>
      <c r="V168" s="3" t="s">
        <v>332</v>
      </c>
      <c r="W168" s="3" t="s">
        <v>112</v>
      </c>
      <c r="X168" s="3" t="s">
        <v>99</v>
      </c>
      <c r="Y168" s="3">
        <v>25</v>
      </c>
      <c r="Z168" s="3">
        <v>1.5</v>
      </c>
      <c r="AA168" s="3">
        <v>6</v>
      </c>
      <c r="AB168" s="11" t="s">
        <v>397</v>
      </c>
    </row>
    <row r="169" spans="1:28">
      <c r="A169" s="3" t="s">
        <v>80</v>
      </c>
      <c r="B169" s="3" t="s">
        <v>81</v>
      </c>
      <c r="C169" s="3">
        <v>9</v>
      </c>
      <c r="D169" s="3" t="s">
        <v>158</v>
      </c>
      <c r="E169" s="3">
        <v>3</v>
      </c>
      <c r="F169" s="3">
        <v>2019</v>
      </c>
      <c r="G169" s="4">
        <v>4.0244649339934</v>
      </c>
      <c r="H169" s="3">
        <v>5</v>
      </c>
      <c r="I169" s="4">
        <v>1.4626947605998299</v>
      </c>
      <c r="J169" s="4">
        <f t="shared" si="28"/>
        <v>0.65413698300680012</v>
      </c>
      <c r="K169" s="4">
        <v>5.5612415330818807</v>
      </c>
      <c r="L169" s="3">
        <v>6</v>
      </c>
      <c r="M169" s="4">
        <v>1.8138364285214321</v>
      </c>
      <c r="N169" s="4">
        <f t="shared" si="29"/>
        <v>0.7404956211249536</v>
      </c>
      <c r="O169" s="4">
        <f t="shared" si="24"/>
        <v>0.32342941427225508</v>
      </c>
      <c r="P169" s="4">
        <f t="shared" si="25"/>
        <v>4.4148991722532394E-2</v>
      </c>
      <c r="Q169" s="4" t="s">
        <v>290</v>
      </c>
      <c r="R169" s="3" t="s">
        <v>96</v>
      </c>
      <c r="S169" s="3" t="s">
        <v>221</v>
      </c>
      <c r="T169" s="3" t="s">
        <v>97</v>
      </c>
      <c r="U169" s="3" t="s">
        <v>337</v>
      </c>
      <c r="V169" s="3" t="s">
        <v>332</v>
      </c>
      <c r="W169" s="3" t="s">
        <v>112</v>
      </c>
      <c r="X169" s="3" t="s">
        <v>99</v>
      </c>
      <c r="Y169" s="3">
        <v>25</v>
      </c>
      <c r="Z169" s="3">
        <v>1.5</v>
      </c>
      <c r="AA169" s="3">
        <v>10</v>
      </c>
      <c r="AB169" s="11" t="s">
        <v>397</v>
      </c>
    </row>
    <row r="170" spans="1:28">
      <c r="A170" s="3" t="s">
        <v>80</v>
      </c>
      <c r="B170" s="3" t="s">
        <v>81</v>
      </c>
      <c r="C170" s="3">
        <v>10</v>
      </c>
      <c r="D170" s="3" t="s">
        <v>158</v>
      </c>
      <c r="E170" s="3">
        <v>3</v>
      </c>
      <c r="F170" s="3">
        <v>2019</v>
      </c>
      <c r="G170" s="4">
        <v>3.7064365349481401</v>
      </c>
      <c r="H170" s="3">
        <v>4</v>
      </c>
      <c r="I170" s="4">
        <v>1.0693431246009342</v>
      </c>
      <c r="J170" s="4">
        <f t="shared" si="28"/>
        <v>0.53467156230046708</v>
      </c>
      <c r="K170" s="4">
        <v>5.1209072203138684</v>
      </c>
      <c r="L170" s="3">
        <v>7</v>
      </c>
      <c r="M170" s="4">
        <v>1.5264924796534587</v>
      </c>
      <c r="N170" s="4">
        <f t="shared" si="29"/>
        <v>0.57695992562476806</v>
      </c>
      <c r="O170" s="4">
        <f t="shared" si="24"/>
        <v>0.32326070249078315</v>
      </c>
      <c r="P170" s="4">
        <f t="shared" si="25"/>
        <v>3.3503441228825238E-2</v>
      </c>
      <c r="Q170" s="4" t="s">
        <v>290</v>
      </c>
      <c r="R170" s="3" t="s">
        <v>96</v>
      </c>
      <c r="S170" s="3" t="s">
        <v>221</v>
      </c>
      <c r="T170" s="3" t="s">
        <v>97</v>
      </c>
      <c r="U170" s="3" t="s">
        <v>337</v>
      </c>
      <c r="V170" s="3" t="s">
        <v>332</v>
      </c>
      <c r="W170" s="3" t="s">
        <v>112</v>
      </c>
      <c r="X170" s="3" t="s">
        <v>99</v>
      </c>
      <c r="Y170" s="3">
        <v>25</v>
      </c>
      <c r="Z170" s="3">
        <v>1.5</v>
      </c>
      <c r="AA170" s="3">
        <v>3</v>
      </c>
      <c r="AB170" s="11" t="s">
        <v>397</v>
      </c>
    </row>
    <row r="171" spans="1:28">
      <c r="A171" s="3" t="s">
        <v>80</v>
      </c>
      <c r="B171" s="3" t="s">
        <v>81</v>
      </c>
      <c r="C171" s="3">
        <v>11</v>
      </c>
      <c r="D171" s="3" t="s">
        <v>158</v>
      </c>
      <c r="E171" s="3">
        <v>3</v>
      </c>
      <c r="F171" s="3">
        <v>2019</v>
      </c>
      <c r="G171" s="4">
        <v>5.8188046224265291</v>
      </c>
      <c r="H171" s="3">
        <v>6</v>
      </c>
      <c r="I171" s="4">
        <v>2.2918144285989941</v>
      </c>
      <c r="J171" s="4">
        <f t="shared" si="28"/>
        <v>0.93562932253595443</v>
      </c>
      <c r="K171" s="4">
        <v>6.8911321408926627</v>
      </c>
      <c r="L171" s="3">
        <v>6</v>
      </c>
      <c r="M171" s="4">
        <v>1.9315737376302631</v>
      </c>
      <c r="N171" s="4">
        <f t="shared" si="29"/>
        <v>0.78856167629244922</v>
      </c>
      <c r="O171" s="4">
        <f t="shared" si="24"/>
        <v>0.16914053874521506</v>
      </c>
      <c r="P171" s="4">
        <f t="shared" si="25"/>
        <v>3.8949273348248215E-2</v>
      </c>
      <c r="Q171" s="4" t="s">
        <v>290</v>
      </c>
      <c r="R171" s="3" t="s">
        <v>96</v>
      </c>
      <c r="S171" s="3" t="s">
        <v>221</v>
      </c>
      <c r="T171" s="3" t="s">
        <v>97</v>
      </c>
      <c r="U171" s="3" t="s">
        <v>337</v>
      </c>
      <c r="V171" s="3" t="s">
        <v>332</v>
      </c>
      <c r="W171" s="3" t="s">
        <v>112</v>
      </c>
      <c r="X171" s="3" t="s">
        <v>99</v>
      </c>
      <c r="Y171" s="3">
        <v>25</v>
      </c>
      <c r="Z171" s="3">
        <v>1.5</v>
      </c>
      <c r="AA171" s="3">
        <v>6</v>
      </c>
      <c r="AB171" s="11" t="s">
        <v>397</v>
      </c>
    </row>
    <row r="172" spans="1:28">
      <c r="A172" s="3" t="s">
        <v>80</v>
      </c>
      <c r="B172" s="3" t="s">
        <v>81</v>
      </c>
      <c r="C172" s="3">
        <v>12</v>
      </c>
      <c r="D172" s="3" t="s">
        <v>158</v>
      </c>
      <c r="E172" s="3">
        <v>3</v>
      </c>
      <c r="F172" s="3">
        <v>2019</v>
      </c>
      <c r="G172" s="4">
        <v>4.0244649339934</v>
      </c>
      <c r="H172" s="3">
        <v>5</v>
      </c>
      <c r="I172" s="4">
        <v>1.4626947605998299</v>
      </c>
      <c r="J172" s="4">
        <f t="shared" si="28"/>
        <v>0.65413698300680012</v>
      </c>
      <c r="K172" s="4">
        <v>5.4880356258840148</v>
      </c>
      <c r="L172" s="3">
        <v>2</v>
      </c>
      <c r="M172" s="4">
        <v>2.5036122406617505</v>
      </c>
      <c r="N172" s="4">
        <f t="shared" si="29"/>
        <v>1.7703211928335703</v>
      </c>
      <c r="O172" s="4">
        <f t="shared" si="24"/>
        <v>0.31017841561946935</v>
      </c>
      <c r="P172" s="4">
        <f t="shared" si="25"/>
        <v>0.13047604665225138</v>
      </c>
      <c r="Q172" s="4" t="s">
        <v>290</v>
      </c>
      <c r="R172" s="3" t="s">
        <v>96</v>
      </c>
      <c r="S172" s="3" t="s">
        <v>221</v>
      </c>
      <c r="T172" s="3" t="s">
        <v>97</v>
      </c>
      <c r="U172" s="3" t="s">
        <v>337</v>
      </c>
      <c r="V172" s="3" t="s">
        <v>332</v>
      </c>
      <c r="W172" s="3" t="s">
        <v>112</v>
      </c>
      <c r="X172" s="3" t="s">
        <v>99</v>
      </c>
      <c r="Y172" s="3">
        <v>25</v>
      </c>
      <c r="Z172" s="3">
        <v>1.5</v>
      </c>
      <c r="AA172" s="3">
        <v>10</v>
      </c>
      <c r="AB172" s="11" t="s">
        <v>397</v>
      </c>
    </row>
    <row r="173" spans="1:28">
      <c r="A173" s="3" t="s">
        <v>80</v>
      </c>
      <c r="B173" s="3" t="s">
        <v>81</v>
      </c>
      <c r="C173" s="3">
        <v>13</v>
      </c>
      <c r="D173" s="3" t="s">
        <v>158</v>
      </c>
      <c r="E173" s="3">
        <v>3</v>
      </c>
      <c r="F173" s="3">
        <v>2019</v>
      </c>
      <c r="G173" s="4">
        <v>3.7064365349481401</v>
      </c>
      <c r="H173" s="3">
        <v>4</v>
      </c>
      <c r="I173" s="4">
        <v>1.0693431246009342</v>
      </c>
      <c r="J173" s="4">
        <f t="shared" si="28"/>
        <v>0.53467156230046708</v>
      </c>
      <c r="K173" s="4">
        <v>5.3127449989896984</v>
      </c>
      <c r="L173" s="3">
        <v>5</v>
      </c>
      <c r="M173" s="4">
        <v>1.4819958050250432</v>
      </c>
      <c r="N173" s="4">
        <f t="shared" si="29"/>
        <v>0.66276867248110416</v>
      </c>
      <c r="O173" s="4">
        <f t="shared" si="24"/>
        <v>0.36003773831241065</v>
      </c>
      <c r="P173" s="4">
        <f t="shared" si="25"/>
        <v>3.6372208623433835E-2</v>
      </c>
      <c r="Q173" s="4" t="s">
        <v>290</v>
      </c>
      <c r="R173" s="3" t="s">
        <v>96</v>
      </c>
      <c r="S173" s="3" t="s">
        <v>221</v>
      </c>
      <c r="T173" s="3" t="s">
        <v>97</v>
      </c>
      <c r="U173" s="3" t="s">
        <v>337</v>
      </c>
      <c r="V173" s="3" t="s">
        <v>332</v>
      </c>
      <c r="W173" s="3" t="s">
        <v>112</v>
      </c>
      <c r="X173" s="3" t="s">
        <v>98</v>
      </c>
      <c r="Y173" s="3">
        <v>25</v>
      </c>
      <c r="Z173" s="3">
        <v>1.5</v>
      </c>
      <c r="AA173" s="3">
        <v>3</v>
      </c>
      <c r="AB173" s="11" t="s">
        <v>397</v>
      </c>
    </row>
    <row r="174" spans="1:28">
      <c r="A174" s="3" t="s">
        <v>80</v>
      </c>
      <c r="B174" s="3" t="s">
        <v>81</v>
      </c>
      <c r="C174" s="3">
        <v>14</v>
      </c>
      <c r="D174" s="3" t="s">
        <v>158</v>
      </c>
      <c r="E174" s="3">
        <v>3</v>
      </c>
      <c r="F174" s="3">
        <v>2019</v>
      </c>
      <c r="G174" s="4">
        <v>5.8188046224265291</v>
      </c>
      <c r="H174" s="3">
        <v>6</v>
      </c>
      <c r="I174" s="4">
        <v>2.2918144285989941</v>
      </c>
      <c r="J174" s="4">
        <f t="shared" si="28"/>
        <v>0.93562932253595443</v>
      </c>
      <c r="K174" s="4">
        <v>6.3618500854549733</v>
      </c>
      <c r="L174" s="3">
        <v>7</v>
      </c>
      <c r="M174" s="4">
        <v>1.7095568718031027</v>
      </c>
      <c r="N174" s="4">
        <f t="shared" si="29"/>
        <v>0.64615176213036274</v>
      </c>
      <c r="O174" s="4">
        <f t="shared" si="24"/>
        <v>8.9224379678043822E-2</v>
      </c>
      <c r="P174" s="4">
        <f t="shared" si="25"/>
        <v>3.6170518572680346E-2</v>
      </c>
      <c r="Q174" s="4" t="s">
        <v>290</v>
      </c>
      <c r="R174" s="3" t="s">
        <v>96</v>
      </c>
      <c r="S174" s="3" t="s">
        <v>221</v>
      </c>
      <c r="T174" s="3" t="s">
        <v>97</v>
      </c>
      <c r="U174" s="3" t="s">
        <v>337</v>
      </c>
      <c r="V174" s="3" t="s">
        <v>332</v>
      </c>
      <c r="W174" s="3" t="s">
        <v>112</v>
      </c>
      <c r="X174" s="3" t="s">
        <v>98</v>
      </c>
      <c r="Y174" s="3">
        <v>25</v>
      </c>
      <c r="Z174" s="3">
        <v>1.5</v>
      </c>
      <c r="AA174" s="3">
        <v>6</v>
      </c>
      <c r="AB174" s="11" t="s">
        <v>397</v>
      </c>
    </row>
    <row r="175" spans="1:28">
      <c r="A175" s="3" t="s">
        <v>80</v>
      </c>
      <c r="B175" s="3" t="s">
        <v>81</v>
      </c>
      <c r="C175" s="3">
        <v>15</v>
      </c>
      <c r="D175" s="3" t="s">
        <v>158</v>
      </c>
      <c r="E175" s="3">
        <v>3</v>
      </c>
      <c r="F175" s="3">
        <v>2019</v>
      </c>
      <c r="G175" s="4">
        <v>4.0244649339934</v>
      </c>
      <c r="H175" s="3">
        <v>5</v>
      </c>
      <c r="I175" s="4">
        <v>1.4626947605998299</v>
      </c>
      <c r="J175" s="4">
        <f t="shared" si="28"/>
        <v>0.65413698300680012</v>
      </c>
      <c r="K175" s="4">
        <v>6.7790559803748227</v>
      </c>
      <c r="L175" s="3">
        <v>3</v>
      </c>
      <c r="M175" s="4">
        <v>0.82586786173065563</v>
      </c>
      <c r="N175" s="4">
        <f t="shared" si="29"/>
        <v>0.47681503228525468</v>
      </c>
      <c r="O175" s="4">
        <f t="shared" si="24"/>
        <v>0.52144588994517904</v>
      </c>
      <c r="P175" s="4">
        <f t="shared" si="25"/>
        <v>3.1366510591709029E-2</v>
      </c>
      <c r="Q175" s="4" t="s">
        <v>290</v>
      </c>
      <c r="R175" s="3" t="s">
        <v>96</v>
      </c>
      <c r="S175" s="3" t="s">
        <v>221</v>
      </c>
      <c r="T175" s="3" t="s">
        <v>97</v>
      </c>
      <c r="U175" s="3" t="s">
        <v>337</v>
      </c>
      <c r="V175" s="3" t="s">
        <v>332</v>
      </c>
      <c r="W175" s="3" t="s">
        <v>112</v>
      </c>
      <c r="X175" s="3" t="s">
        <v>98</v>
      </c>
      <c r="Y175" s="3">
        <v>25</v>
      </c>
      <c r="Z175" s="3">
        <v>1.5</v>
      </c>
      <c r="AA175" s="3">
        <v>10</v>
      </c>
      <c r="AB175" s="11" t="s">
        <v>397</v>
      </c>
    </row>
    <row r="176" spans="1:28">
      <c r="A176" s="3" t="s">
        <v>82</v>
      </c>
      <c r="B176" s="3" t="s">
        <v>83</v>
      </c>
      <c r="C176" s="3">
        <v>1</v>
      </c>
      <c r="D176" s="3" t="s">
        <v>159</v>
      </c>
      <c r="E176" s="3">
        <v>4.5</v>
      </c>
      <c r="F176" s="3">
        <v>2018</v>
      </c>
      <c r="G176" s="4">
        <v>11.81283</v>
      </c>
      <c r="H176" s="3">
        <v>3</v>
      </c>
      <c r="I176" s="4">
        <f t="shared" ref="I176:I215" si="30" xml:space="preserve"> J176 * SQRT(H176)</f>
        <v>2.332795309666067</v>
      </c>
      <c r="J176" s="4">
        <v>1.3468400000000003</v>
      </c>
      <c r="K176" s="4">
        <v>14.42765</v>
      </c>
      <c r="L176" s="3">
        <v>3</v>
      </c>
      <c r="M176" s="4">
        <f t="shared" ref="M176:M207" si="31" xml:space="preserve"> N176 * SQRT(L176)</f>
        <v>1.9035584785343465</v>
      </c>
      <c r="N176" s="4">
        <v>1.0990199999999994</v>
      </c>
      <c r="O176" s="4">
        <f t="shared" si="24"/>
        <v>0.19996027542300177</v>
      </c>
      <c r="P176" s="4">
        <f t="shared" si="25"/>
        <v>1.8801988591962686E-2</v>
      </c>
      <c r="Q176" s="4" t="s">
        <v>306</v>
      </c>
      <c r="R176" s="3" t="s">
        <v>118</v>
      </c>
      <c r="S176" s="3" t="s">
        <v>341</v>
      </c>
      <c r="T176" s="3" t="s">
        <v>8</v>
      </c>
      <c r="U176" s="3" t="s">
        <v>337</v>
      </c>
      <c r="V176" s="3" t="s">
        <v>332</v>
      </c>
      <c r="W176" s="3" t="s">
        <v>112</v>
      </c>
      <c r="X176" s="3" t="s">
        <v>98</v>
      </c>
      <c r="Y176" s="3" t="s">
        <v>363</v>
      </c>
      <c r="Z176" s="3">
        <v>0</v>
      </c>
      <c r="AA176" s="3">
        <v>0</v>
      </c>
      <c r="AB176" s="11" t="s">
        <v>397</v>
      </c>
    </row>
    <row r="177" spans="1:28">
      <c r="A177" s="3" t="s">
        <v>82</v>
      </c>
      <c r="B177" s="3" t="s">
        <v>83</v>
      </c>
      <c r="C177" s="3">
        <v>2</v>
      </c>
      <c r="D177" s="3" t="s">
        <v>159</v>
      </c>
      <c r="E177" s="3">
        <v>4.5</v>
      </c>
      <c r="F177" s="3">
        <v>2018</v>
      </c>
      <c r="G177" s="4">
        <v>11.81283</v>
      </c>
      <c r="H177" s="3">
        <v>3</v>
      </c>
      <c r="I177" s="4">
        <f t="shared" si="30"/>
        <v>2.332795309666067</v>
      </c>
      <c r="J177" s="4">
        <v>1.3468400000000003</v>
      </c>
      <c r="K177" s="4">
        <v>17.406020000000002</v>
      </c>
      <c r="L177" s="3">
        <v>3</v>
      </c>
      <c r="M177" s="4">
        <f t="shared" si="31"/>
        <v>5.527978716420674</v>
      </c>
      <c r="N177" s="4">
        <v>3.1915799999999983</v>
      </c>
      <c r="O177" s="4">
        <f t="shared" si="24"/>
        <v>0.38762989445815166</v>
      </c>
      <c r="P177" s="4">
        <f t="shared" si="25"/>
        <v>4.6620569909400472E-2</v>
      </c>
      <c r="Q177" s="4" t="s">
        <v>306</v>
      </c>
      <c r="R177" s="3" t="s">
        <v>118</v>
      </c>
      <c r="S177" s="3" t="s">
        <v>341</v>
      </c>
      <c r="T177" s="3" t="s">
        <v>8</v>
      </c>
      <c r="U177" s="3" t="s">
        <v>337</v>
      </c>
      <c r="V177" s="3" t="s">
        <v>332</v>
      </c>
      <c r="W177" s="3" t="s">
        <v>112</v>
      </c>
      <c r="X177" s="3" t="s">
        <v>98</v>
      </c>
      <c r="Y177" s="3" t="s">
        <v>363</v>
      </c>
      <c r="Z177" s="3">
        <v>0</v>
      </c>
      <c r="AA177" s="3">
        <v>0</v>
      </c>
      <c r="AB177" s="11" t="s">
        <v>397</v>
      </c>
    </row>
    <row r="178" spans="1:28">
      <c r="A178" s="3" t="s">
        <v>82</v>
      </c>
      <c r="B178" s="3" t="s">
        <v>83</v>
      </c>
      <c r="C178" s="3">
        <v>3</v>
      </c>
      <c r="D178" s="3" t="s">
        <v>159</v>
      </c>
      <c r="E178" s="3">
        <v>4.5</v>
      </c>
      <c r="F178" s="3">
        <v>2018</v>
      </c>
      <c r="G178" s="4">
        <v>11.81283</v>
      </c>
      <c r="H178" s="3">
        <v>3</v>
      </c>
      <c r="I178" s="4">
        <f t="shared" si="30"/>
        <v>2.332795309666067</v>
      </c>
      <c r="J178" s="4">
        <v>1.3468400000000003</v>
      </c>
      <c r="K178" s="4">
        <v>22.902709999999999</v>
      </c>
      <c r="L178" s="3">
        <v>3</v>
      </c>
      <c r="M178" s="4">
        <f t="shared" si="31"/>
        <v>3.6566363829071138</v>
      </c>
      <c r="N178" s="4">
        <v>2.1111600000000017</v>
      </c>
      <c r="O178" s="4">
        <f t="shared" si="24"/>
        <v>0.66206901523226924</v>
      </c>
      <c r="P178" s="4">
        <f t="shared" si="25"/>
        <v>2.1496481196377773E-2</v>
      </c>
      <c r="Q178" s="4" t="s">
        <v>306</v>
      </c>
      <c r="R178" s="3" t="s">
        <v>118</v>
      </c>
      <c r="S178" s="3" t="s">
        <v>341</v>
      </c>
      <c r="T178" s="3" t="s">
        <v>8</v>
      </c>
      <c r="U178" s="3" t="s">
        <v>337</v>
      </c>
      <c r="V178" s="3" t="s">
        <v>332</v>
      </c>
      <c r="W178" s="3" t="s">
        <v>112</v>
      </c>
      <c r="X178" s="3" t="s">
        <v>98</v>
      </c>
      <c r="Y178" s="3" t="s">
        <v>363</v>
      </c>
      <c r="Z178" s="3">
        <v>0</v>
      </c>
      <c r="AA178" s="3">
        <v>0</v>
      </c>
      <c r="AB178" s="11" t="s">
        <v>397</v>
      </c>
    </row>
    <row r="179" spans="1:28">
      <c r="A179" s="3" t="s">
        <v>82</v>
      </c>
      <c r="B179" s="3" t="s">
        <v>83</v>
      </c>
      <c r="C179" s="3">
        <v>4</v>
      </c>
      <c r="D179" s="3" t="s">
        <v>159</v>
      </c>
      <c r="E179" s="3">
        <v>4.5</v>
      </c>
      <c r="F179" s="3">
        <v>2018</v>
      </c>
      <c r="G179" s="4">
        <v>11.81283</v>
      </c>
      <c r="H179" s="3">
        <v>3</v>
      </c>
      <c r="I179" s="4">
        <f t="shared" si="30"/>
        <v>2.332795309666067</v>
      </c>
      <c r="J179" s="4">
        <v>1.3468400000000003</v>
      </c>
      <c r="K179" s="4">
        <v>26.517160000000001</v>
      </c>
      <c r="L179" s="3">
        <v>3</v>
      </c>
      <c r="M179" s="4">
        <f t="shared" si="31"/>
        <v>5.7950609509477937</v>
      </c>
      <c r="N179" s="4">
        <v>3.3457799999999978</v>
      </c>
      <c r="O179" s="4">
        <f t="shared" si="24"/>
        <v>0.80860584165620397</v>
      </c>
      <c r="P179" s="4">
        <f t="shared" si="25"/>
        <v>2.8919338799151782E-2</v>
      </c>
      <c r="Q179" s="4" t="s">
        <v>306</v>
      </c>
      <c r="R179" s="3" t="s">
        <v>118</v>
      </c>
      <c r="S179" s="3" t="s">
        <v>341</v>
      </c>
      <c r="T179" s="3" t="s">
        <v>8</v>
      </c>
      <c r="U179" s="3" t="s">
        <v>337</v>
      </c>
      <c r="V179" s="3" t="s">
        <v>332</v>
      </c>
      <c r="W179" s="3" t="s">
        <v>112</v>
      </c>
      <c r="X179" s="3" t="s">
        <v>98</v>
      </c>
      <c r="Y179" s="3" t="s">
        <v>363</v>
      </c>
      <c r="Z179" s="3">
        <v>0</v>
      </c>
      <c r="AA179" s="3">
        <v>0</v>
      </c>
      <c r="AB179" s="11" t="s">
        <v>397</v>
      </c>
    </row>
    <row r="180" spans="1:28">
      <c r="A180" s="3" t="s">
        <v>82</v>
      </c>
      <c r="B180" s="3" t="s">
        <v>83</v>
      </c>
      <c r="C180" s="3">
        <v>5</v>
      </c>
      <c r="D180" s="3" t="s">
        <v>159</v>
      </c>
      <c r="E180" s="3">
        <v>4.5</v>
      </c>
      <c r="F180" s="3">
        <v>2018</v>
      </c>
      <c r="G180" s="4">
        <v>12.02186</v>
      </c>
      <c r="H180" s="3">
        <v>3</v>
      </c>
      <c r="I180" s="4">
        <f t="shared" si="30"/>
        <v>2.3938847416490194</v>
      </c>
      <c r="J180" s="4">
        <v>1.3821099999999991</v>
      </c>
      <c r="K180" s="4">
        <v>16.315020000000001</v>
      </c>
      <c r="L180" s="3">
        <v>3</v>
      </c>
      <c r="M180" s="4">
        <f t="shared" si="31"/>
        <v>2.7609409487890173</v>
      </c>
      <c r="N180" s="4">
        <v>1.5940300000000001</v>
      </c>
      <c r="O180" s="4">
        <f t="shared" si="24"/>
        <v>0.30535949667805623</v>
      </c>
      <c r="P180" s="4">
        <f t="shared" si="25"/>
        <v>2.2763193126467261E-2</v>
      </c>
      <c r="Q180" s="4" t="s">
        <v>306</v>
      </c>
      <c r="R180" s="3" t="s">
        <v>118</v>
      </c>
      <c r="S180" s="3" t="s">
        <v>341</v>
      </c>
      <c r="T180" s="3" t="s">
        <v>8</v>
      </c>
      <c r="U180" s="3" t="s">
        <v>337</v>
      </c>
      <c r="V180" s="3" t="s">
        <v>332</v>
      </c>
      <c r="W180" s="3" t="s">
        <v>112</v>
      </c>
      <c r="X180" s="3" t="s">
        <v>98</v>
      </c>
      <c r="Y180" s="3" t="s">
        <v>363</v>
      </c>
      <c r="Z180" s="3">
        <v>2</v>
      </c>
      <c r="AA180" s="3">
        <v>0</v>
      </c>
      <c r="AB180" s="11" t="s">
        <v>397</v>
      </c>
    </row>
    <row r="181" spans="1:28">
      <c r="A181" s="3" t="s">
        <v>82</v>
      </c>
      <c r="B181" s="3" t="s">
        <v>83</v>
      </c>
      <c r="C181" s="3">
        <v>6</v>
      </c>
      <c r="D181" s="3" t="s">
        <v>159</v>
      </c>
      <c r="E181" s="3">
        <v>4.5</v>
      </c>
      <c r="F181" s="3">
        <v>2018</v>
      </c>
      <c r="G181" s="4">
        <v>12.02186</v>
      </c>
      <c r="H181" s="3">
        <v>3</v>
      </c>
      <c r="I181" s="4">
        <f t="shared" si="30"/>
        <v>2.3938847416490194</v>
      </c>
      <c r="J181" s="4">
        <v>1.3821099999999991</v>
      </c>
      <c r="K181" s="4">
        <v>17.834990000000001</v>
      </c>
      <c r="L181" s="3">
        <v>3</v>
      </c>
      <c r="M181" s="4">
        <f t="shared" si="31"/>
        <v>3.342321122857582</v>
      </c>
      <c r="N181" s="4">
        <v>1.9296899999999972</v>
      </c>
      <c r="O181" s="4">
        <f t="shared" si="24"/>
        <v>0.39443559888319146</v>
      </c>
      <c r="P181" s="4">
        <f t="shared" si="25"/>
        <v>2.4923835320183961E-2</v>
      </c>
      <c r="Q181" s="4" t="s">
        <v>306</v>
      </c>
      <c r="R181" s="3" t="s">
        <v>118</v>
      </c>
      <c r="S181" s="3" t="s">
        <v>341</v>
      </c>
      <c r="T181" s="3" t="s">
        <v>8</v>
      </c>
      <c r="U181" s="3" t="s">
        <v>337</v>
      </c>
      <c r="V181" s="3" t="s">
        <v>332</v>
      </c>
      <c r="W181" s="3" t="s">
        <v>112</v>
      </c>
      <c r="X181" s="3" t="s">
        <v>98</v>
      </c>
      <c r="Y181" s="3" t="s">
        <v>363</v>
      </c>
      <c r="Z181" s="3">
        <v>2</v>
      </c>
      <c r="AA181" s="3">
        <v>0</v>
      </c>
      <c r="AB181" s="11" t="s">
        <v>397</v>
      </c>
    </row>
    <row r="182" spans="1:28">
      <c r="A182" s="3" t="s">
        <v>82</v>
      </c>
      <c r="B182" s="3" t="s">
        <v>83</v>
      </c>
      <c r="C182" s="3">
        <v>7</v>
      </c>
      <c r="D182" s="3" t="s">
        <v>159</v>
      </c>
      <c r="E182" s="3">
        <v>4.5</v>
      </c>
      <c r="F182" s="3">
        <v>2018</v>
      </c>
      <c r="G182" s="4">
        <v>12.02186</v>
      </c>
      <c r="H182" s="3">
        <v>3</v>
      </c>
      <c r="I182" s="4">
        <f t="shared" si="30"/>
        <v>2.3938847416490194</v>
      </c>
      <c r="J182" s="4">
        <v>1.3821099999999991</v>
      </c>
      <c r="K182" s="4">
        <v>27.78321</v>
      </c>
      <c r="L182" s="3">
        <v>3</v>
      </c>
      <c r="M182" s="4">
        <f t="shared" si="31"/>
        <v>2.7209478956422521</v>
      </c>
      <c r="N182" s="4">
        <v>1.5709400000000002</v>
      </c>
      <c r="O182" s="4">
        <f t="shared" si="24"/>
        <v>0.83770522217441867</v>
      </c>
      <c r="P182" s="4">
        <f t="shared" si="25"/>
        <v>1.6414360040840476E-2</v>
      </c>
      <c r="Q182" s="4" t="s">
        <v>306</v>
      </c>
      <c r="R182" s="3" t="s">
        <v>118</v>
      </c>
      <c r="S182" s="3" t="s">
        <v>341</v>
      </c>
      <c r="T182" s="3" t="s">
        <v>8</v>
      </c>
      <c r="U182" s="3" t="s">
        <v>337</v>
      </c>
      <c r="V182" s="3" t="s">
        <v>332</v>
      </c>
      <c r="W182" s="3" t="s">
        <v>112</v>
      </c>
      <c r="X182" s="3" t="s">
        <v>98</v>
      </c>
      <c r="Y182" s="3" t="s">
        <v>363</v>
      </c>
      <c r="Z182" s="3">
        <v>2</v>
      </c>
      <c r="AA182" s="3">
        <v>0</v>
      </c>
      <c r="AB182" s="11" t="s">
        <v>397</v>
      </c>
    </row>
    <row r="183" spans="1:28">
      <c r="A183" s="3" t="s">
        <v>82</v>
      </c>
      <c r="B183" s="3" t="s">
        <v>83</v>
      </c>
      <c r="C183" s="3">
        <v>8</v>
      </c>
      <c r="D183" s="3" t="s">
        <v>159</v>
      </c>
      <c r="E183" s="3">
        <v>4.5</v>
      </c>
      <c r="F183" s="3">
        <v>2018</v>
      </c>
      <c r="G183" s="4">
        <v>12.02186</v>
      </c>
      <c r="H183" s="3">
        <v>3</v>
      </c>
      <c r="I183" s="4">
        <f t="shared" si="30"/>
        <v>2.3938847416490194</v>
      </c>
      <c r="J183" s="4">
        <v>1.3821099999999991</v>
      </c>
      <c r="K183" s="4">
        <v>32.015129999999999</v>
      </c>
      <c r="L183" s="3">
        <v>3</v>
      </c>
      <c r="M183" s="4">
        <f t="shared" si="31"/>
        <v>4.7450051488591694</v>
      </c>
      <c r="N183" s="4">
        <v>2.739530000000002</v>
      </c>
      <c r="O183" s="4">
        <f t="shared" si="24"/>
        <v>0.97948194432687263</v>
      </c>
      <c r="P183" s="4">
        <f t="shared" si="25"/>
        <v>2.0539473702902138E-2</v>
      </c>
      <c r="Q183" s="4" t="s">
        <v>306</v>
      </c>
      <c r="R183" s="3" t="s">
        <v>118</v>
      </c>
      <c r="S183" s="3" t="s">
        <v>341</v>
      </c>
      <c r="T183" s="3" t="s">
        <v>8</v>
      </c>
      <c r="U183" s="3" t="s">
        <v>337</v>
      </c>
      <c r="V183" s="3" t="s">
        <v>332</v>
      </c>
      <c r="W183" s="3" t="s">
        <v>112</v>
      </c>
      <c r="X183" s="3" t="s">
        <v>98</v>
      </c>
      <c r="Y183" s="3" t="s">
        <v>363</v>
      </c>
      <c r="Z183" s="3">
        <v>2</v>
      </c>
      <c r="AA183" s="3">
        <v>0</v>
      </c>
      <c r="AB183" s="11" t="s">
        <v>397</v>
      </c>
    </row>
    <row r="184" spans="1:28">
      <c r="A184" s="3" t="s">
        <v>82</v>
      </c>
      <c r="B184" s="3" t="s">
        <v>83</v>
      </c>
      <c r="C184" s="3">
        <v>9</v>
      </c>
      <c r="D184" s="3" t="s">
        <v>159</v>
      </c>
      <c r="E184" s="3">
        <v>4.5</v>
      </c>
      <c r="F184" s="3">
        <v>2018</v>
      </c>
      <c r="G184" s="4">
        <v>12.553100000000001</v>
      </c>
      <c r="H184" s="3">
        <v>3</v>
      </c>
      <c r="I184" s="4">
        <f t="shared" si="30"/>
        <v>1.844131815326659</v>
      </c>
      <c r="J184" s="4">
        <v>1.0647099999999998</v>
      </c>
      <c r="K184" s="4">
        <v>19.672350000000002</v>
      </c>
      <c r="L184" s="3">
        <v>3</v>
      </c>
      <c r="M184" s="4">
        <f t="shared" si="31"/>
        <v>5.8061633966243082</v>
      </c>
      <c r="N184" s="4">
        <v>3.3521899999999967</v>
      </c>
      <c r="O184" s="4">
        <f t="shared" si="24"/>
        <v>0.44924644951334342</v>
      </c>
      <c r="P184" s="4">
        <f t="shared" si="25"/>
        <v>3.6230372091629451E-2</v>
      </c>
      <c r="Q184" s="4" t="s">
        <v>306</v>
      </c>
      <c r="R184" s="3" t="s">
        <v>118</v>
      </c>
      <c r="S184" s="3" t="s">
        <v>341</v>
      </c>
      <c r="T184" s="3" t="s">
        <v>8</v>
      </c>
      <c r="U184" s="3" t="s">
        <v>337</v>
      </c>
      <c r="V184" s="3" t="s">
        <v>332</v>
      </c>
      <c r="W184" s="3" t="s">
        <v>112</v>
      </c>
      <c r="X184" s="3" t="s">
        <v>98</v>
      </c>
      <c r="Y184" s="3" t="s">
        <v>363</v>
      </c>
      <c r="Z184" s="3">
        <v>3</v>
      </c>
      <c r="AA184" s="3">
        <v>0</v>
      </c>
      <c r="AB184" s="11" t="s">
        <v>397</v>
      </c>
    </row>
    <row r="185" spans="1:28">
      <c r="A185" s="3" t="s">
        <v>82</v>
      </c>
      <c r="B185" s="3" t="s">
        <v>83</v>
      </c>
      <c r="C185" s="3">
        <v>10</v>
      </c>
      <c r="D185" s="3" t="s">
        <v>159</v>
      </c>
      <c r="E185" s="3">
        <v>4.5</v>
      </c>
      <c r="F185" s="3">
        <v>2018</v>
      </c>
      <c r="G185" s="4">
        <v>12.553100000000001</v>
      </c>
      <c r="H185" s="3">
        <v>3</v>
      </c>
      <c r="I185" s="4">
        <f t="shared" si="30"/>
        <v>1.844131815326659</v>
      </c>
      <c r="J185" s="4">
        <v>1.0647099999999998</v>
      </c>
      <c r="K185" s="4">
        <v>19.91376</v>
      </c>
      <c r="L185" s="3">
        <v>3</v>
      </c>
      <c r="M185" s="4">
        <f t="shared" si="31"/>
        <v>6.5191621115600462</v>
      </c>
      <c r="N185" s="4">
        <v>3.7638400000000019</v>
      </c>
      <c r="O185" s="4">
        <f t="shared" si="24"/>
        <v>0.46144330304287573</v>
      </c>
      <c r="P185" s="4">
        <f t="shared" si="25"/>
        <v>4.2917483948697314E-2</v>
      </c>
      <c r="Q185" s="4" t="s">
        <v>306</v>
      </c>
      <c r="R185" s="3" t="s">
        <v>118</v>
      </c>
      <c r="S185" s="3" t="s">
        <v>341</v>
      </c>
      <c r="T185" s="3" t="s">
        <v>8</v>
      </c>
      <c r="U185" s="3" t="s">
        <v>337</v>
      </c>
      <c r="V185" s="3" t="s">
        <v>332</v>
      </c>
      <c r="W185" s="3" t="s">
        <v>112</v>
      </c>
      <c r="X185" s="3" t="s">
        <v>98</v>
      </c>
      <c r="Y185" s="3" t="s">
        <v>363</v>
      </c>
      <c r="Z185" s="3">
        <v>3</v>
      </c>
      <c r="AA185" s="3">
        <v>0</v>
      </c>
      <c r="AB185" s="11" t="s">
        <v>397</v>
      </c>
    </row>
    <row r="186" spans="1:28">
      <c r="A186" s="3" t="s">
        <v>82</v>
      </c>
      <c r="B186" s="3" t="s">
        <v>83</v>
      </c>
      <c r="C186" s="3">
        <v>11</v>
      </c>
      <c r="D186" s="3" t="s">
        <v>159</v>
      </c>
      <c r="E186" s="3">
        <v>4.5</v>
      </c>
      <c r="F186" s="3">
        <v>2018</v>
      </c>
      <c r="G186" s="4">
        <v>12.553100000000001</v>
      </c>
      <c r="H186" s="3">
        <v>3</v>
      </c>
      <c r="I186" s="4">
        <f t="shared" si="30"/>
        <v>1.844131815326659</v>
      </c>
      <c r="J186" s="4">
        <v>1.0647099999999998</v>
      </c>
      <c r="K186" s="4">
        <v>19.79898</v>
      </c>
      <c r="L186" s="3">
        <v>3</v>
      </c>
      <c r="M186" s="4">
        <f t="shared" si="31"/>
        <v>9.6643758525162937</v>
      </c>
      <c r="N186" s="4">
        <v>5.5797300000000014</v>
      </c>
      <c r="O186" s="4">
        <f t="shared" si="24"/>
        <v>0.45566277419446871</v>
      </c>
      <c r="P186" s="4">
        <f t="shared" si="25"/>
        <v>8.6615823088345908E-2</v>
      </c>
      <c r="Q186" s="4" t="s">
        <v>306</v>
      </c>
      <c r="R186" s="3" t="s">
        <v>118</v>
      </c>
      <c r="S186" s="3" t="s">
        <v>341</v>
      </c>
      <c r="T186" s="3" t="s">
        <v>8</v>
      </c>
      <c r="U186" s="3" t="s">
        <v>337</v>
      </c>
      <c r="V186" s="3" t="s">
        <v>332</v>
      </c>
      <c r="W186" s="3" t="s">
        <v>112</v>
      </c>
      <c r="X186" s="3" t="s">
        <v>98</v>
      </c>
      <c r="Y186" s="3" t="s">
        <v>363</v>
      </c>
      <c r="Z186" s="3">
        <v>3</v>
      </c>
      <c r="AA186" s="3">
        <v>0</v>
      </c>
      <c r="AB186" s="11" t="s">
        <v>397</v>
      </c>
    </row>
    <row r="187" spans="1:28">
      <c r="A187" s="3" t="s">
        <v>82</v>
      </c>
      <c r="B187" s="3" t="s">
        <v>83</v>
      </c>
      <c r="C187" s="3">
        <v>12</v>
      </c>
      <c r="D187" s="3" t="s">
        <v>159</v>
      </c>
      <c r="E187" s="3">
        <v>4.5</v>
      </c>
      <c r="F187" s="3">
        <v>2018</v>
      </c>
      <c r="G187" s="4">
        <v>12.553100000000001</v>
      </c>
      <c r="H187" s="3">
        <v>3</v>
      </c>
      <c r="I187" s="4">
        <f t="shared" si="30"/>
        <v>1.844131815326659</v>
      </c>
      <c r="J187" s="4">
        <v>1.0647099999999998</v>
      </c>
      <c r="K187" s="4">
        <v>22.64367</v>
      </c>
      <c r="L187" s="3">
        <v>3</v>
      </c>
      <c r="M187" s="4">
        <f t="shared" si="31"/>
        <v>4.8194140515523234</v>
      </c>
      <c r="N187" s="4">
        <v>2.7824899999999992</v>
      </c>
      <c r="O187" s="4">
        <f t="shared" si="24"/>
        <v>0.58991269564373938</v>
      </c>
      <c r="P187" s="4">
        <f t="shared" si="25"/>
        <v>2.2293721872032293E-2</v>
      </c>
      <c r="Q187" s="4" t="s">
        <v>306</v>
      </c>
      <c r="R187" s="3" t="s">
        <v>118</v>
      </c>
      <c r="S187" s="3" t="s">
        <v>341</v>
      </c>
      <c r="T187" s="3" t="s">
        <v>8</v>
      </c>
      <c r="U187" s="3" t="s">
        <v>337</v>
      </c>
      <c r="V187" s="3" t="s">
        <v>332</v>
      </c>
      <c r="W187" s="3" t="s">
        <v>112</v>
      </c>
      <c r="X187" s="3" t="s">
        <v>98</v>
      </c>
      <c r="Y187" s="3" t="s">
        <v>363</v>
      </c>
      <c r="Z187" s="3">
        <v>3</v>
      </c>
      <c r="AA187" s="3">
        <v>0</v>
      </c>
      <c r="AB187" s="11" t="s">
        <v>397</v>
      </c>
    </row>
    <row r="188" spans="1:28">
      <c r="A188" s="3" t="s">
        <v>84</v>
      </c>
      <c r="B188" s="3" t="s">
        <v>85</v>
      </c>
      <c r="C188" s="3">
        <v>1</v>
      </c>
      <c r="D188" s="3" t="s">
        <v>156</v>
      </c>
      <c r="E188" s="3">
        <v>1.6</v>
      </c>
      <c r="F188" s="3">
        <v>2019</v>
      </c>
      <c r="G188" s="4">
        <v>0.11329</v>
      </c>
      <c r="H188" s="3">
        <v>80</v>
      </c>
      <c r="I188" s="4">
        <f t="shared" si="30"/>
        <v>8.6938322965191758E-2</v>
      </c>
      <c r="J188" s="4">
        <v>9.7199999999999925E-3</v>
      </c>
      <c r="K188" s="4">
        <v>0.11697</v>
      </c>
      <c r="L188" s="3">
        <v>40</v>
      </c>
      <c r="M188" s="4">
        <f t="shared" si="31"/>
        <v>5.6098805691387074E-2</v>
      </c>
      <c r="N188" s="4">
        <v>8.8700000000000029E-3</v>
      </c>
      <c r="O188" s="4">
        <f t="shared" si="24"/>
        <v>3.1966588777218398E-2</v>
      </c>
      <c r="P188" s="4">
        <f t="shared" si="25"/>
        <v>1.3111615568372016E-2</v>
      </c>
      <c r="Q188" s="4" t="s">
        <v>309</v>
      </c>
      <c r="R188" s="3" t="s">
        <v>125</v>
      </c>
      <c r="S188" s="3" t="s">
        <v>221</v>
      </c>
      <c r="T188" s="3" t="s">
        <v>8</v>
      </c>
      <c r="U188" s="3" t="s">
        <v>337</v>
      </c>
      <c r="V188" s="3" t="s">
        <v>333</v>
      </c>
      <c r="W188" s="3" t="s">
        <v>360</v>
      </c>
      <c r="X188" s="3" t="s">
        <v>102</v>
      </c>
      <c r="Y188" s="3">
        <v>80</v>
      </c>
      <c r="Z188" s="3">
        <v>180</v>
      </c>
      <c r="AA188" s="3">
        <v>180</v>
      </c>
      <c r="AB188" s="11" t="s">
        <v>397</v>
      </c>
    </row>
    <row r="189" spans="1:28">
      <c r="A189" s="3" t="s">
        <v>84</v>
      </c>
      <c r="B189" s="3" t="s">
        <v>85</v>
      </c>
      <c r="C189" s="3">
        <v>2</v>
      </c>
      <c r="D189" s="3" t="s">
        <v>156</v>
      </c>
      <c r="E189" s="3">
        <v>1.6</v>
      </c>
      <c r="F189" s="3">
        <v>2019</v>
      </c>
      <c r="G189" s="4">
        <v>0.11329</v>
      </c>
      <c r="H189" s="3">
        <v>80</v>
      </c>
      <c r="I189" s="4">
        <f t="shared" si="30"/>
        <v>8.6938322965191758E-2</v>
      </c>
      <c r="J189" s="4">
        <v>9.7199999999999925E-3</v>
      </c>
      <c r="K189" s="4">
        <v>0.1237</v>
      </c>
      <c r="L189" s="3">
        <v>40</v>
      </c>
      <c r="M189" s="4">
        <f t="shared" si="31"/>
        <v>6.2107133245706943E-2</v>
      </c>
      <c r="N189" s="4">
        <v>9.8199999999999954E-3</v>
      </c>
      <c r="O189" s="4">
        <f t="shared" si="24"/>
        <v>8.7908376513044992E-2</v>
      </c>
      <c r="P189" s="4">
        <f t="shared" si="25"/>
        <v>1.3663287991962999E-2</v>
      </c>
      <c r="Q189" s="4" t="s">
        <v>309</v>
      </c>
      <c r="R189" s="3" t="s">
        <v>125</v>
      </c>
      <c r="S189" s="3" t="s">
        <v>221</v>
      </c>
      <c r="T189" s="3" t="s">
        <v>8</v>
      </c>
      <c r="U189" s="3" t="s">
        <v>337</v>
      </c>
      <c r="V189" s="3" t="s">
        <v>333</v>
      </c>
      <c r="W189" s="3" t="s">
        <v>360</v>
      </c>
      <c r="X189" s="3" t="s">
        <v>102</v>
      </c>
      <c r="Y189" s="3">
        <v>80</v>
      </c>
      <c r="Z189" s="3">
        <v>180</v>
      </c>
      <c r="AA189" s="3">
        <v>180</v>
      </c>
      <c r="AB189" s="11" t="s">
        <v>397</v>
      </c>
    </row>
    <row r="190" spans="1:28">
      <c r="A190" s="3" t="s">
        <v>84</v>
      </c>
      <c r="B190" s="3" t="s">
        <v>85</v>
      </c>
      <c r="C190" s="3">
        <v>3</v>
      </c>
      <c r="D190" s="3" t="s">
        <v>156</v>
      </c>
      <c r="E190" s="3">
        <v>1.6</v>
      </c>
      <c r="F190" s="3">
        <v>2019</v>
      </c>
      <c r="G190" s="4">
        <v>4.8210000000000003E-2</v>
      </c>
      <c r="H190" s="3">
        <v>80</v>
      </c>
      <c r="I190" s="4">
        <f t="shared" si="30"/>
        <v>4.7941297437595461E-2</v>
      </c>
      <c r="J190" s="4">
        <v>5.3599999999999967E-3</v>
      </c>
      <c r="K190" s="4">
        <v>4.8050000000000002E-2</v>
      </c>
      <c r="L190" s="3">
        <v>40</v>
      </c>
      <c r="M190" s="4">
        <f t="shared" si="31"/>
        <v>4.1425837348205777E-2</v>
      </c>
      <c r="N190" s="4">
        <v>6.5500000000000003E-3</v>
      </c>
      <c r="O190" s="4">
        <f t="shared" si="24"/>
        <v>-3.3243330012293765E-3</v>
      </c>
      <c r="P190" s="4">
        <f t="shared" si="25"/>
        <v>3.0943192444047606E-2</v>
      </c>
      <c r="Q190" s="4" t="s">
        <v>310</v>
      </c>
      <c r="R190" s="3" t="s">
        <v>126</v>
      </c>
      <c r="S190" s="3" t="s">
        <v>221</v>
      </c>
      <c r="T190" s="3" t="s">
        <v>8</v>
      </c>
      <c r="U190" s="3" t="s">
        <v>337</v>
      </c>
      <c r="V190" s="3" t="s">
        <v>333</v>
      </c>
      <c r="W190" s="3" t="s">
        <v>360</v>
      </c>
      <c r="X190" s="3" t="s">
        <v>102</v>
      </c>
      <c r="Y190" s="3">
        <v>80</v>
      </c>
      <c r="Z190" s="3">
        <v>365</v>
      </c>
      <c r="AA190" s="3">
        <v>365</v>
      </c>
      <c r="AB190" s="11" t="s">
        <v>397</v>
      </c>
    </row>
    <row r="191" spans="1:28">
      <c r="A191" s="3" t="s">
        <v>84</v>
      </c>
      <c r="B191" s="3" t="s">
        <v>85</v>
      </c>
      <c r="C191" s="3">
        <v>4</v>
      </c>
      <c r="D191" s="3" t="s">
        <v>156</v>
      </c>
      <c r="E191" s="3">
        <v>1.6</v>
      </c>
      <c r="F191" s="3">
        <v>2019</v>
      </c>
      <c r="G191" s="4">
        <v>4.8210000000000003E-2</v>
      </c>
      <c r="H191" s="3">
        <v>80</v>
      </c>
      <c r="I191" s="4">
        <f t="shared" si="30"/>
        <v>4.7941297437595461E-2</v>
      </c>
      <c r="J191" s="4">
        <v>5.3599999999999967E-3</v>
      </c>
      <c r="K191" s="4">
        <v>5.0169999999999999E-2</v>
      </c>
      <c r="L191" s="3">
        <v>40</v>
      </c>
      <c r="M191" s="4">
        <f t="shared" si="31"/>
        <v>4.3196712837900081E-2</v>
      </c>
      <c r="N191" s="4">
        <v>6.8300000000000027E-3</v>
      </c>
      <c r="O191" s="4">
        <f t="shared" si="24"/>
        <v>3.985077007863061E-2</v>
      </c>
      <c r="P191" s="4">
        <f t="shared" si="25"/>
        <v>3.0894367854757868E-2</v>
      </c>
      <c r="Q191" s="4" t="s">
        <v>310</v>
      </c>
      <c r="R191" s="3" t="s">
        <v>126</v>
      </c>
      <c r="S191" s="3" t="s">
        <v>221</v>
      </c>
      <c r="T191" s="3" t="s">
        <v>8</v>
      </c>
      <c r="U191" s="3" t="s">
        <v>337</v>
      </c>
      <c r="V191" s="3" t="s">
        <v>333</v>
      </c>
      <c r="W191" s="3" t="s">
        <v>360</v>
      </c>
      <c r="X191" s="3" t="s">
        <v>102</v>
      </c>
      <c r="Y191" s="3">
        <v>80</v>
      </c>
      <c r="Z191" s="3">
        <v>365</v>
      </c>
      <c r="AA191" s="3">
        <v>365</v>
      </c>
      <c r="AB191" s="11" t="s">
        <v>397</v>
      </c>
    </row>
    <row r="192" spans="1:28">
      <c r="A192" s="3" t="s">
        <v>86</v>
      </c>
      <c r="B192" s="3" t="s">
        <v>87</v>
      </c>
      <c r="C192" s="3">
        <v>1</v>
      </c>
      <c r="D192" s="3" t="s">
        <v>160</v>
      </c>
      <c r="E192" s="3">
        <v>4.3</v>
      </c>
      <c r="F192" s="3">
        <v>2022</v>
      </c>
      <c r="G192" s="4">
        <v>7.07</v>
      </c>
      <c r="H192" s="3">
        <v>18</v>
      </c>
      <c r="I192" s="4">
        <f t="shared" si="30"/>
        <v>10.182337649086284</v>
      </c>
      <c r="J192" s="4">
        <v>2.4</v>
      </c>
      <c r="K192" s="4">
        <v>7.26</v>
      </c>
      <c r="L192" s="3">
        <v>18</v>
      </c>
      <c r="M192" s="4">
        <f t="shared" si="31"/>
        <v>8.7398398154657269</v>
      </c>
      <c r="N192" s="4">
        <v>2.06</v>
      </c>
      <c r="O192" s="4">
        <f t="shared" ref="O192:O255" si="32">LN(K192/G192)</f>
        <v>2.6519348928223264E-2</v>
      </c>
      <c r="P192" s="4">
        <f t="shared" si="25"/>
        <v>0.1957469092206307</v>
      </c>
      <c r="Q192" s="4" t="s">
        <v>299</v>
      </c>
      <c r="R192" s="3" t="s">
        <v>127</v>
      </c>
      <c r="S192" s="3" t="s">
        <v>221</v>
      </c>
      <c r="T192" s="3" t="s">
        <v>8</v>
      </c>
      <c r="U192" s="3" t="s">
        <v>337</v>
      </c>
      <c r="V192" s="3" t="s">
        <v>332</v>
      </c>
      <c r="W192" s="3" t="s">
        <v>360</v>
      </c>
      <c r="X192" s="3" t="s">
        <v>167</v>
      </c>
      <c r="Y192" s="3" t="s">
        <v>363</v>
      </c>
      <c r="Z192" s="3">
        <v>8</v>
      </c>
      <c r="AA192" s="3">
        <v>0</v>
      </c>
      <c r="AB192" s="11" t="s">
        <v>397</v>
      </c>
    </row>
    <row r="193" spans="1:28">
      <c r="A193" s="3" t="s">
        <v>86</v>
      </c>
      <c r="B193" s="3" t="s">
        <v>87</v>
      </c>
      <c r="C193" s="3">
        <v>2</v>
      </c>
      <c r="D193" s="3" t="s">
        <v>160</v>
      </c>
      <c r="E193" s="3">
        <v>4.3</v>
      </c>
      <c r="F193" s="3">
        <v>2022</v>
      </c>
      <c r="G193" s="4">
        <v>7.07</v>
      </c>
      <c r="H193" s="3">
        <v>18</v>
      </c>
      <c r="I193" s="4">
        <f t="shared" si="30"/>
        <v>10.182337649086284</v>
      </c>
      <c r="J193" s="4">
        <v>2.4</v>
      </c>
      <c r="K193" s="4">
        <v>5.93</v>
      </c>
      <c r="L193" s="3">
        <v>18</v>
      </c>
      <c r="M193" s="4">
        <f t="shared" si="31"/>
        <v>8.4428549673673761</v>
      </c>
      <c r="N193" s="4">
        <v>1.99</v>
      </c>
      <c r="O193" s="4">
        <f t="shared" si="32"/>
        <v>-0.17583626689884746</v>
      </c>
      <c r="P193" s="4">
        <f t="shared" si="25"/>
        <v>0.22784993702571754</v>
      </c>
      <c r="Q193" s="4" t="s">
        <v>299</v>
      </c>
      <c r="R193" s="3" t="s">
        <v>127</v>
      </c>
      <c r="S193" s="3" t="s">
        <v>221</v>
      </c>
      <c r="T193" s="3" t="s">
        <v>8</v>
      </c>
      <c r="U193" s="3" t="s">
        <v>337</v>
      </c>
      <c r="V193" s="3" t="s">
        <v>332</v>
      </c>
      <c r="W193" s="3" t="s">
        <v>112</v>
      </c>
      <c r="X193" s="3" t="s">
        <v>99</v>
      </c>
      <c r="Y193" s="3" t="s">
        <v>363</v>
      </c>
      <c r="Z193" s="3">
        <v>8</v>
      </c>
      <c r="AA193" s="3">
        <v>0</v>
      </c>
      <c r="AB193" s="11" t="s">
        <v>397</v>
      </c>
    </row>
    <row r="194" spans="1:28">
      <c r="A194" s="3" t="s">
        <v>86</v>
      </c>
      <c r="B194" s="3" t="s">
        <v>87</v>
      </c>
      <c r="C194" s="3">
        <v>3</v>
      </c>
      <c r="D194" s="3" t="s">
        <v>160</v>
      </c>
      <c r="E194" s="3">
        <v>4.3</v>
      </c>
      <c r="F194" s="3">
        <v>2022</v>
      </c>
      <c r="G194" s="4">
        <v>1.57</v>
      </c>
      <c r="H194" s="3">
        <v>18</v>
      </c>
      <c r="I194" s="4">
        <f t="shared" si="30"/>
        <v>2.7152900397563422</v>
      </c>
      <c r="J194" s="4">
        <v>0.64</v>
      </c>
      <c r="K194" s="4">
        <v>1.52</v>
      </c>
      <c r="L194" s="3">
        <v>18</v>
      </c>
      <c r="M194" s="4">
        <f t="shared" si="31"/>
        <v>3.4365389565666207</v>
      </c>
      <c r="N194" s="4">
        <v>0.81</v>
      </c>
      <c r="O194" s="4">
        <f t="shared" si="32"/>
        <v>-3.236528450203166E-2</v>
      </c>
      <c r="P194" s="4">
        <f t="shared" ref="P194:P257" si="33">(M194^2)/(L194*(K194^2)) + (I194^2)/(H194*(G194^2))</f>
        <v>0.45014987045543237</v>
      </c>
      <c r="Q194" s="4" t="s">
        <v>299</v>
      </c>
      <c r="R194" s="3" t="s">
        <v>127</v>
      </c>
      <c r="S194" s="3" t="s">
        <v>221</v>
      </c>
      <c r="T194" s="3" t="s">
        <v>8</v>
      </c>
      <c r="U194" s="3" t="s">
        <v>337</v>
      </c>
      <c r="V194" s="3" t="s">
        <v>332</v>
      </c>
      <c r="W194" s="3" t="s">
        <v>360</v>
      </c>
      <c r="X194" s="3" t="s">
        <v>167</v>
      </c>
      <c r="Y194" s="3" t="s">
        <v>363</v>
      </c>
      <c r="Z194" s="3">
        <v>8</v>
      </c>
      <c r="AA194" s="3">
        <v>0</v>
      </c>
      <c r="AB194" s="11" t="s">
        <v>397</v>
      </c>
    </row>
    <row r="195" spans="1:28">
      <c r="A195" s="3" t="s">
        <v>86</v>
      </c>
      <c r="B195" s="3" t="s">
        <v>87</v>
      </c>
      <c r="C195" s="3">
        <v>4</v>
      </c>
      <c r="D195" s="3" t="s">
        <v>160</v>
      </c>
      <c r="E195" s="3">
        <v>4.3</v>
      </c>
      <c r="F195" s="3">
        <v>2022</v>
      </c>
      <c r="G195" s="4">
        <v>1.57</v>
      </c>
      <c r="H195" s="3">
        <v>18</v>
      </c>
      <c r="I195" s="4">
        <f t="shared" si="30"/>
        <v>2.7152900397563422</v>
      </c>
      <c r="J195" s="4">
        <v>0.64</v>
      </c>
      <c r="K195" s="4">
        <v>1.05</v>
      </c>
      <c r="L195" s="3">
        <v>18</v>
      </c>
      <c r="M195" s="4">
        <f t="shared" si="31"/>
        <v>1.7819090885900994</v>
      </c>
      <c r="N195" s="4">
        <v>0.42</v>
      </c>
      <c r="O195" s="4">
        <f t="shared" si="32"/>
        <v>-0.40228545519078474</v>
      </c>
      <c r="P195" s="4">
        <f t="shared" si="33"/>
        <v>0.32617306990141581</v>
      </c>
      <c r="Q195" s="4" t="s">
        <v>299</v>
      </c>
      <c r="R195" s="3" t="s">
        <v>127</v>
      </c>
      <c r="S195" s="3" t="s">
        <v>221</v>
      </c>
      <c r="T195" s="3" t="s">
        <v>8</v>
      </c>
      <c r="U195" s="3" t="s">
        <v>337</v>
      </c>
      <c r="V195" s="3" t="s">
        <v>332</v>
      </c>
      <c r="W195" s="3" t="s">
        <v>112</v>
      </c>
      <c r="X195" s="3" t="s">
        <v>99</v>
      </c>
      <c r="Y195" s="3" t="s">
        <v>363</v>
      </c>
      <c r="Z195" s="3">
        <v>8</v>
      </c>
      <c r="AA195" s="3">
        <v>0</v>
      </c>
      <c r="AB195" s="11" t="s">
        <v>397</v>
      </c>
    </row>
    <row r="196" spans="1:28">
      <c r="A196" s="3" t="s">
        <v>88</v>
      </c>
      <c r="B196" s="3" t="s">
        <v>89</v>
      </c>
      <c r="C196" s="3">
        <v>1</v>
      </c>
      <c r="D196" s="3" t="s">
        <v>161</v>
      </c>
      <c r="E196" s="3">
        <v>5.5</v>
      </c>
      <c r="F196" s="3">
        <v>1996</v>
      </c>
      <c r="G196" s="4">
        <v>2.6537299999999999</v>
      </c>
      <c r="H196" s="3">
        <v>10</v>
      </c>
      <c r="I196" s="4">
        <f t="shared" si="30"/>
        <v>0.46368477331048963</v>
      </c>
      <c r="J196" s="4">
        <v>0.14663000000000004</v>
      </c>
      <c r="K196" s="4">
        <v>2.5942699999999999</v>
      </c>
      <c r="L196" s="3">
        <v>10</v>
      </c>
      <c r="M196" s="4">
        <f t="shared" si="31"/>
        <v>0.33374678425417065</v>
      </c>
      <c r="N196" s="4">
        <v>0.10553999999999997</v>
      </c>
      <c r="O196" s="4">
        <f t="shared" si="32"/>
        <v>-2.2661030671217303E-2</v>
      </c>
      <c r="P196" s="4">
        <f t="shared" si="33"/>
        <v>4.7080601717614176E-3</v>
      </c>
      <c r="Q196" s="4" t="s">
        <v>311</v>
      </c>
      <c r="R196" s="3" t="s">
        <v>128</v>
      </c>
      <c r="S196" s="3" t="s">
        <v>221</v>
      </c>
      <c r="T196" s="3" t="s">
        <v>8</v>
      </c>
      <c r="U196" s="3" t="s">
        <v>337</v>
      </c>
      <c r="V196" s="3" t="s">
        <v>333</v>
      </c>
      <c r="W196" s="3" t="s">
        <v>112</v>
      </c>
      <c r="X196" s="3" t="s">
        <v>99</v>
      </c>
      <c r="Y196" s="3">
        <v>50</v>
      </c>
      <c r="Z196" s="3">
        <v>10</v>
      </c>
      <c r="AA196" s="3">
        <v>365</v>
      </c>
      <c r="AB196" s="11" t="s">
        <v>397</v>
      </c>
    </row>
    <row r="197" spans="1:28">
      <c r="A197" s="3" t="s">
        <v>88</v>
      </c>
      <c r="B197" s="3" t="s">
        <v>89</v>
      </c>
      <c r="C197" s="3">
        <v>2</v>
      </c>
      <c r="D197" s="3" t="s">
        <v>161</v>
      </c>
      <c r="E197" s="3">
        <v>5.5</v>
      </c>
      <c r="F197" s="3">
        <v>1996</v>
      </c>
      <c r="G197" s="4">
        <v>1.74028</v>
      </c>
      <c r="H197" s="3">
        <v>10</v>
      </c>
      <c r="I197" s="4">
        <f t="shared" si="30"/>
        <v>0.17471584072430305</v>
      </c>
      <c r="J197" s="4">
        <v>5.5250000000000021E-2</v>
      </c>
      <c r="K197" s="4">
        <v>1.9497100000000001</v>
      </c>
      <c r="L197" s="3">
        <v>10</v>
      </c>
      <c r="M197" s="4">
        <f t="shared" si="31"/>
        <v>0.27318916706194551</v>
      </c>
      <c r="N197" s="4">
        <v>8.6389999999999745E-2</v>
      </c>
      <c r="O197" s="4">
        <f t="shared" si="32"/>
        <v>0.11363462374681957</v>
      </c>
      <c r="P197" s="4">
        <f t="shared" si="33"/>
        <v>2.9712216640573356E-3</v>
      </c>
      <c r="Q197" s="4" t="s">
        <v>311</v>
      </c>
      <c r="R197" s="3" t="s">
        <v>128</v>
      </c>
      <c r="S197" s="3" t="s">
        <v>221</v>
      </c>
      <c r="T197" s="3" t="s">
        <v>8</v>
      </c>
      <c r="U197" s="3" t="s">
        <v>337</v>
      </c>
      <c r="V197" s="3" t="s">
        <v>333</v>
      </c>
      <c r="W197" s="3" t="s">
        <v>112</v>
      </c>
      <c r="X197" s="3" t="s">
        <v>99</v>
      </c>
      <c r="Y197" s="3">
        <v>50</v>
      </c>
      <c r="Z197" s="3">
        <v>10</v>
      </c>
      <c r="AA197" s="3">
        <v>365</v>
      </c>
      <c r="AB197" s="11" t="s">
        <v>397</v>
      </c>
    </row>
    <row r="198" spans="1:28">
      <c r="A198" s="3" t="s">
        <v>88</v>
      </c>
      <c r="B198" s="3" t="s">
        <v>89</v>
      </c>
      <c r="C198" s="3">
        <v>3</v>
      </c>
      <c r="D198" s="3" t="s">
        <v>161</v>
      </c>
      <c r="E198" s="3">
        <v>5.5</v>
      </c>
      <c r="F198" s="3">
        <v>1996</v>
      </c>
      <c r="G198" s="4">
        <v>2.0723600000000002</v>
      </c>
      <c r="H198" s="3">
        <v>10</v>
      </c>
      <c r="I198" s="4">
        <f t="shared" si="30"/>
        <v>0.46678380541745385</v>
      </c>
      <c r="J198" s="4">
        <v>0.1476099999999998</v>
      </c>
      <c r="K198" s="4">
        <v>2.4588100000000002</v>
      </c>
      <c r="L198" s="3">
        <v>10</v>
      </c>
      <c r="M198" s="4">
        <f t="shared" si="31"/>
        <v>0.41356267239681965</v>
      </c>
      <c r="N198" s="4">
        <v>0.13077999999999967</v>
      </c>
      <c r="O198" s="4">
        <f t="shared" si="32"/>
        <v>0.17098943858797458</v>
      </c>
      <c r="P198" s="4">
        <f t="shared" si="33"/>
        <v>7.9024225397705782E-3</v>
      </c>
      <c r="Q198" s="4" t="s">
        <v>311</v>
      </c>
      <c r="R198" s="3" t="s">
        <v>128</v>
      </c>
      <c r="S198" s="3" t="s">
        <v>221</v>
      </c>
      <c r="T198" s="3" t="s">
        <v>8</v>
      </c>
      <c r="U198" s="3" t="s">
        <v>337</v>
      </c>
      <c r="V198" s="3" t="s">
        <v>333</v>
      </c>
      <c r="W198" s="3" t="s">
        <v>112</v>
      </c>
      <c r="X198" s="3" t="s">
        <v>99</v>
      </c>
      <c r="Y198" s="3">
        <v>50</v>
      </c>
      <c r="Z198" s="3">
        <v>10</v>
      </c>
      <c r="AA198" s="3">
        <v>365</v>
      </c>
      <c r="AB198" s="11" t="s">
        <v>397</v>
      </c>
    </row>
    <row r="199" spans="1:28">
      <c r="A199" s="3" t="s">
        <v>88</v>
      </c>
      <c r="B199" s="3" t="s">
        <v>89</v>
      </c>
      <c r="C199" s="3">
        <v>4</v>
      </c>
      <c r="D199" s="3" t="s">
        <v>161</v>
      </c>
      <c r="E199" s="3">
        <v>5.5</v>
      </c>
      <c r="F199" s="3">
        <v>1996</v>
      </c>
      <c r="G199" s="4">
        <v>2.5258500000000002</v>
      </c>
      <c r="H199" s="3">
        <v>10</v>
      </c>
      <c r="I199" s="4">
        <f t="shared" si="30"/>
        <v>0.39613852248929288</v>
      </c>
      <c r="J199" s="4">
        <v>0.12526999999999999</v>
      </c>
      <c r="K199" s="4">
        <v>2.1987999999999999</v>
      </c>
      <c r="L199" s="3">
        <v>10</v>
      </c>
      <c r="M199" s="4">
        <f t="shared" si="31"/>
        <v>0.25212839784522517</v>
      </c>
      <c r="N199" s="4">
        <v>7.9730000000000079E-2</v>
      </c>
      <c r="O199" s="4">
        <f t="shared" si="32"/>
        <v>-0.13866588273792246</v>
      </c>
      <c r="P199" s="4">
        <f t="shared" si="33"/>
        <v>3.7745199211498461E-3</v>
      </c>
      <c r="Q199" s="4" t="s">
        <v>311</v>
      </c>
      <c r="R199" s="3" t="s">
        <v>128</v>
      </c>
      <c r="S199" s="3" t="s">
        <v>221</v>
      </c>
      <c r="T199" s="3" t="s">
        <v>8</v>
      </c>
      <c r="U199" s="3" t="s">
        <v>337</v>
      </c>
      <c r="V199" s="3" t="s">
        <v>333</v>
      </c>
      <c r="W199" s="3" t="s">
        <v>112</v>
      </c>
      <c r="X199" s="3" t="s">
        <v>99</v>
      </c>
      <c r="Y199" s="3">
        <v>50</v>
      </c>
      <c r="Z199" s="3">
        <v>10</v>
      </c>
      <c r="AA199" s="3">
        <v>365</v>
      </c>
      <c r="AB199" s="11" t="s">
        <v>397</v>
      </c>
    </row>
    <row r="200" spans="1:28">
      <c r="A200" s="3" t="s">
        <v>90</v>
      </c>
      <c r="B200" s="3" t="s">
        <v>92</v>
      </c>
      <c r="C200" s="3">
        <v>1</v>
      </c>
      <c r="D200" s="3" t="s">
        <v>163</v>
      </c>
      <c r="E200" s="3">
        <v>0</v>
      </c>
      <c r="F200" s="3">
        <v>2015</v>
      </c>
      <c r="G200" s="4">
        <v>74.064959999999999</v>
      </c>
      <c r="H200" s="3">
        <v>5</v>
      </c>
      <c r="I200" s="4">
        <f t="shared" si="30"/>
        <v>17.146795350502078</v>
      </c>
      <c r="J200" s="4">
        <v>7.6682799999999958</v>
      </c>
      <c r="K200" s="4">
        <v>78.220219999999998</v>
      </c>
      <c r="L200" s="3">
        <v>5</v>
      </c>
      <c r="M200" s="4">
        <f t="shared" si="31"/>
        <v>17.749952326752901</v>
      </c>
      <c r="N200" s="4">
        <v>7.9380200000000087</v>
      </c>
      <c r="O200" s="4">
        <f t="shared" si="32"/>
        <v>5.4585635935604102E-2</v>
      </c>
      <c r="P200" s="4">
        <f t="shared" si="33"/>
        <v>2.1018189179372711E-2</v>
      </c>
      <c r="Q200" s="4" t="s">
        <v>304</v>
      </c>
      <c r="R200" s="3" t="s">
        <v>116</v>
      </c>
      <c r="S200" s="3" t="s">
        <v>221</v>
      </c>
      <c r="T200" s="3" t="s">
        <v>97</v>
      </c>
      <c r="U200" s="3" t="s">
        <v>335</v>
      </c>
      <c r="V200" s="3" t="s">
        <v>333</v>
      </c>
      <c r="W200" s="3" t="s">
        <v>112</v>
      </c>
      <c r="X200" s="3" t="s">
        <v>99</v>
      </c>
      <c r="Y200" s="3">
        <v>25</v>
      </c>
      <c r="Z200" s="3">
        <v>6</v>
      </c>
      <c r="AA200" s="3">
        <v>12</v>
      </c>
      <c r="AB200" s="11" t="s">
        <v>397</v>
      </c>
    </row>
    <row r="201" spans="1:28">
      <c r="A201" s="3" t="s">
        <v>90</v>
      </c>
      <c r="B201" s="3" t="s">
        <v>92</v>
      </c>
      <c r="C201" s="3">
        <v>2</v>
      </c>
      <c r="D201" s="3" t="s">
        <v>162</v>
      </c>
      <c r="E201" s="3">
        <v>0</v>
      </c>
      <c r="F201" s="3">
        <v>2015</v>
      </c>
      <c r="G201" s="4">
        <v>63.892769999999999</v>
      </c>
      <c r="H201" s="3">
        <v>5</v>
      </c>
      <c r="I201" s="4">
        <f t="shared" si="30"/>
        <v>22.92698635097949</v>
      </c>
      <c r="J201" s="4">
        <v>10.253259999999997</v>
      </c>
      <c r="K201" s="4">
        <v>70.098399999999998</v>
      </c>
      <c r="L201" s="3">
        <v>5</v>
      </c>
      <c r="M201" s="4">
        <f t="shared" si="31"/>
        <v>20.076715221420081</v>
      </c>
      <c r="N201" s="4">
        <v>8.978580000000008</v>
      </c>
      <c r="O201" s="4">
        <f t="shared" si="32"/>
        <v>9.2693759801540501E-2</v>
      </c>
      <c r="P201" s="4">
        <f t="shared" si="33"/>
        <v>4.2158429706645344E-2</v>
      </c>
      <c r="Q201" s="4" t="s">
        <v>304</v>
      </c>
      <c r="R201" s="3" t="s">
        <v>116</v>
      </c>
      <c r="S201" s="3" t="s">
        <v>221</v>
      </c>
      <c r="T201" s="3" t="s">
        <v>97</v>
      </c>
      <c r="U201" s="3" t="s">
        <v>335</v>
      </c>
      <c r="V201" s="3" t="s">
        <v>333</v>
      </c>
      <c r="W201" s="3" t="s">
        <v>112</v>
      </c>
      <c r="X201" s="3" t="s">
        <v>99</v>
      </c>
      <c r="Y201" s="3">
        <v>25</v>
      </c>
      <c r="Z201" s="3">
        <v>6</v>
      </c>
      <c r="AA201" s="3">
        <v>24</v>
      </c>
      <c r="AB201" s="11" t="s">
        <v>397</v>
      </c>
    </row>
    <row r="202" spans="1:28">
      <c r="A202" s="3" t="s">
        <v>90</v>
      </c>
      <c r="B202" s="3" t="s">
        <v>92</v>
      </c>
      <c r="C202" s="3">
        <v>3</v>
      </c>
      <c r="D202" s="3" t="s">
        <v>162</v>
      </c>
      <c r="E202" s="3">
        <v>0</v>
      </c>
      <c r="F202" s="3">
        <v>2015</v>
      </c>
      <c r="G202" s="4">
        <v>58.172840000000001</v>
      </c>
      <c r="H202" s="3">
        <v>5</v>
      </c>
      <c r="I202" s="4">
        <f t="shared" si="30"/>
        <v>17.443678095874727</v>
      </c>
      <c r="J202" s="4">
        <v>7.8010499999999965</v>
      </c>
      <c r="K202" s="4">
        <v>64.054199999999994</v>
      </c>
      <c r="L202" s="3">
        <v>5</v>
      </c>
      <c r="M202" s="4">
        <f t="shared" si="31"/>
        <v>8.9804738505549011</v>
      </c>
      <c r="N202" s="4">
        <v>4.0161900000000088</v>
      </c>
      <c r="O202" s="4">
        <f t="shared" si="32"/>
        <v>9.6311020815421144E-2</v>
      </c>
      <c r="P202" s="4">
        <f t="shared" si="33"/>
        <v>2.1914416342141287E-2</v>
      </c>
      <c r="Q202" s="4" t="s">
        <v>304</v>
      </c>
      <c r="R202" s="3" t="s">
        <v>116</v>
      </c>
      <c r="S202" s="3" t="s">
        <v>221</v>
      </c>
      <c r="T202" s="3" t="s">
        <v>97</v>
      </c>
      <c r="U202" s="3" t="s">
        <v>335</v>
      </c>
      <c r="V202" s="3" t="s">
        <v>333</v>
      </c>
      <c r="W202" s="3" t="s">
        <v>112</v>
      </c>
      <c r="X202" s="3" t="s">
        <v>99</v>
      </c>
      <c r="Y202" s="3">
        <v>25</v>
      </c>
      <c r="Z202" s="3">
        <v>6</v>
      </c>
      <c r="AA202" s="3">
        <v>48</v>
      </c>
      <c r="AB202" s="11" t="s">
        <v>397</v>
      </c>
    </row>
    <row r="203" spans="1:28">
      <c r="A203" s="3" t="s">
        <v>90</v>
      </c>
      <c r="B203" s="3" t="s">
        <v>92</v>
      </c>
      <c r="C203" s="3">
        <v>4</v>
      </c>
      <c r="D203" s="3" t="s">
        <v>162</v>
      </c>
      <c r="E203" s="3">
        <v>0</v>
      </c>
      <c r="F203" s="3">
        <v>2015</v>
      </c>
      <c r="G203" s="4">
        <v>50.069879999999998</v>
      </c>
      <c r="H203" s="3">
        <v>5</v>
      </c>
      <c r="I203" s="4">
        <f t="shared" si="30"/>
        <v>15.481036510663619</v>
      </c>
      <c r="J203" s="4">
        <v>6.92333</v>
      </c>
      <c r="K203" s="4">
        <v>58.12811</v>
      </c>
      <c r="L203" s="3">
        <v>5</v>
      </c>
      <c r="M203" s="4">
        <f t="shared" si="31"/>
        <v>19.834526698777054</v>
      </c>
      <c r="N203" s="4">
        <v>8.8702699999999979</v>
      </c>
      <c r="O203" s="4">
        <f t="shared" si="32"/>
        <v>0.1492297381582188</v>
      </c>
      <c r="P203" s="4">
        <f t="shared" si="33"/>
        <v>4.2405861227744583E-2</v>
      </c>
      <c r="Q203" s="4" t="s">
        <v>304</v>
      </c>
      <c r="R203" s="3" t="s">
        <v>116</v>
      </c>
      <c r="S203" s="3" t="s">
        <v>221</v>
      </c>
      <c r="T203" s="3" t="s">
        <v>97</v>
      </c>
      <c r="U203" s="3" t="s">
        <v>335</v>
      </c>
      <c r="V203" s="3" t="s">
        <v>333</v>
      </c>
      <c r="W203" s="3" t="s">
        <v>112</v>
      </c>
      <c r="X203" s="3" t="s">
        <v>99</v>
      </c>
      <c r="Y203" s="3">
        <v>25</v>
      </c>
      <c r="Z203" s="3">
        <v>6</v>
      </c>
      <c r="AA203" s="3">
        <v>72</v>
      </c>
      <c r="AB203" s="11" t="s">
        <v>397</v>
      </c>
    </row>
    <row r="204" spans="1:28">
      <c r="A204" s="3" t="s">
        <v>91</v>
      </c>
      <c r="B204" s="3" t="s">
        <v>92</v>
      </c>
      <c r="C204" s="3">
        <v>5</v>
      </c>
      <c r="D204" s="3" t="s">
        <v>164</v>
      </c>
      <c r="E204" s="3">
        <v>1</v>
      </c>
      <c r="F204" s="3">
        <v>2015</v>
      </c>
      <c r="G204" s="4">
        <v>2.2928000000000002</v>
      </c>
      <c r="H204" s="3">
        <v>3</v>
      </c>
      <c r="I204" s="4">
        <f t="shared" si="30"/>
        <v>0.25854322404580632</v>
      </c>
      <c r="J204" s="4">
        <v>0.14927000000000001</v>
      </c>
      <c r="K204" s="4">
        <v>2.29217</v>
      </c>
      <c r="L204" s="3">
        <v>3</v>
      </c>
      <c r="M204" s="4">
        <f t="shared" si="31"/>
        <v>0.26164359499135414</v>
      </c>
      <c r="N204" s="4">
        <v>0.15105999999999975</v>
      </c>
      <c r="O204" s="4">
        <f t="shared" si="32"/>
        <v>-2.7481096014370879E-4</v>
      </c>
      <c r="P204" s="4">
        <f t="shared" si="33"/>
        <v>8.5816600273464338E-3</v>
      </c>
      <c r="Q204" s="4" t="s">
        <v>299</v>
      </c>
      <c r="R204" s="3" t="s">
        <v>131</v>
      </c>
      <c r="S204" s="3" t="s">
        <v>221</v>
      </c>
      <c r="T204" s="3" t="s">
        <v>97</v>
      </c>
      <c r="U204" s="3" t="s">
        <v>335</v>
      </c>
      <c r="V204" s="3" t="s">
        <v>332</v>
      </c>
      <c r="W204" s="3" t="s">
        <v>329</v>
      </c>
      <c r="X204" s="3" t="s">
        <v>100</v>
      </c>
      <c r="Y204" s="3" t="s">
        <v>363</v>
      </c>
      <c r="Z204" s="3">
        <v>0</v>
      </c>
      <c r="AA204" s="3">
        <v>0</v>
      </c>
      <c r="AB204" s="11" t="s">
        <v>397</v>
      </c>
    </row>
    <row r="205" spans="1:28">
      <c r="A205" s="3" t="s">
        <v>91</v>
      </c>
      <c r="B205" s="3" t="s">
        <v>92</v>
      </c>
      <c r="C205" s="3">
        <v>6</v>
      </c>
      <c r="D205" s="3" t="s">
        <v>164</v>
      </c>
      <c r="E205" s="3">
        <v>1</v>
      </c>
      <c r="F205" s="3">
        <v>2015</v>
      </c>
      <c r="G205" s="4">
        <v>2.2928000000000002</v>
      </c>
      <c r="H205" s="3">
        <v>3</v>
      </c>
      <c r="I205" s="4">
        <f t="shared" si="30"/>
        <v>0.25854322404580632</v>
      </c>
      <c r="J205" s="4">
        <v>0.14927000000000001</v>
      </c>
      <c r="K205" s="4">
        <v>2.2935099999999999</v>
      </c>
      <c r="L205" s="3">
        <v>3</v>
      </c>
      <c r="M205" s="4">
        <f t="shared" si="31"/>
        <v>0.25627423748789085</v>
      </c>
      <c r="N205" s="4">
        <v>0.14795999999999987</v>
      </c>
      <c r="O205" s="4">
        <f t="shared" si="32"/>
        <v>3.0961710205880638E-4</v>
      </c>
      <c r="P205" s="4">
        <f t="shared" si="33"/>
        <v>8.4003642552752892E-3</v>
      </c>
      <c r="Q205" s="4" t="s">
        <v>299</v>
      </c>
      <c r="R205" s="3" t="s">
        <v>131</v>
      </c>
      <c r="S205" s="3" t="s">
        <v>221</v>
      </c>
      <c r="T205" s="3" t="s">
        <v>97</v>
      </c>
      <c r="U205" s="3" t="s">
        <v>337</v>
      </c>
      <c r="V205" s="3" t="s">
        <v>332</v>
      </c>
      <c r="W205" s="3" t="s">
        <v>329</v>
      </c>
      <c r="X205" s="3" t="s">
        <v>123</v>
      </c>
      <c r="Y205" s="3" t="s">
        <v>363</v>
      </c>
      <c r="Z205" s="3">
        <v>0</v>
      </c>
      <c r="AA205" s="3">
        <v>0</v>
      </c>
      <c r="AB205" s="11" t="s">
        <v>397</v>
      </c>
    </row>
    <row r="206" spans="1:28">
      <c r="A206" s="3" t="s">
        <v>91</v>
      </c>
      <c r="B206" s="3" t="s">
        <v>92</v>
      </c>
      <c r="C206" s="3">
        <v>7</v>
      </c>
      <c r="D206" s="3" t="s">
        <v>164</v>
      </c>
      <c r="E206" s="3">
        <v>1</v>
      </c>
      <c r="F206" s="3">
        <v>2015</v>
      </c>
      <c r="G206" s="4">
        <v>2.01722</v>
      </c>
      <c r="H206" s="3">
        <v>3</v>
      </c>
      <c r="I206" s="4">
        <f t="shared" si="30"/>
        <v>4.7769961272749524E-2</v>
      </c>
      <c r="J206" s="4">
        <v>2.7579999999999938E-2</v>
      </c>
      <c r="K206" s="4">
        <v>2.44787</v>
      </c>
      <c r="L206" s="3">
        <v>3</v>
      </c>
      <c r="M206" s="4">
        <f t="shared" si="31"/>
        <v>0.19274261386626435</v>
      </c>
      <c r="N206" s="4">
        <v>0.11127999999999982</v>
      </c>
      <c r="O206" s="4">
        <f t="shared" si="32"/>
        <v>0.19349793276024219</v>
      </c>
      <c r="P206" s="4">
        <f t="shared" si="33"/>
        <v>2.2535365640044308E-3</v>
      </c>
      <c r="Q206" s="4" t="s">
        <v>299</v>
      </c>
      <c r="R206" s="3" t="s">
        <v>131</v>
      </c>
      <c r="S206" s="3" t="s">
        <v>221</v>
      </c>
      <c r="T206" s="3" t="s">
        <v>97</v>
      </c>
      <c r="U206" s="3" t="s">
        <v>335</v>
      </c>
      <c r="V206" s="3" t="s">
        <v>332</v>
      </c>
      <c r="W206" s="3" t="s">
        <v>329</v>
      </c>
      <c r="X206" s="3" t="s">
        <v>123</v>
      </c>
      <c r="Y206" s="3" t="s">
        <v>363</v>
      </c>
      <c r="Z206" s="3">
        <v>0</v>
      </c>
      <c r="AA206" s="3">
        <v>1</v>
      </c>
      <c r="AB206" s="11" t="s">
        <v>397</v>
      </c>
    </row>
    <row r="207" spans="1:28">
      <c r="A207" s="3" t="s">
        <v>91</v>
      </c>
      <c r="B207" s="3" t="s">
        <v>92</v>
      </c>
      <c r="C207" s="3">
        <v>8</v>
      </c>
      <c r="D207" s="3" t="s">
        <v>164</v>
      </c>
      <c r="E207" s="3">
        <v>1</v>
      </c>
      <c r="F207" s="3">
        <v>2015</v>
      </c>
      <c r="G207" s="4">
        <v>2.01722</v>
      </c>
      <c r="H207" s="3">
        <v>3</v>
      </c>
      <c r="I207" s="4">
        <f t="shared" si="30"/>
        <v>4.7769961272749524E-2</v>
      </c>
      <c r="J207" s="4">
        <v>2.7579999999999938E-2</v>
      </c>
      <c r="K207" s="4">
        <v>2.31576</v>
      </c>
      <c r="L207" s="3">
        <v>3</v>
      </c>
      <c r="M207" s="4">
        <f t="shared" si="31"/>
        <v>0.19047362730834963</v>
      </c>
      <c r="N207" s="4">
        <v>0.10997000000000012</v>
      </c>
      <c r="O207" s="4">
        <f t="shared" si="32"/>
        <v>0.13801760149352477</v>
      </c>
      <c r="P207" s="4">
        <f t="shared" si="33"/>
        <v>2.4420081732462297E-3</v>
      </c>
      <c r="Q207" s="4" t="s">
        <v>299</v>
      </c>
      <c r="R207" s="3" t="s">
        <v>131</v>
      </c>
      <c r="S207" s="3" t="s">
        <v>221</v>
      </c>
      <c r="T207" s="3" t="s">
        <v>97</v>
      </c>
      <c r="U207" s="3" t="s">
        <v>337</v>
      </c>
      <c r="V207" s="3" t="s">
        <v>332</v>
      </c>
      <c r="W207" s="3" t="s">
        <v>329</v>
      </c>
      <c r="X207" s="3" t="s">
        <v>123</v>
      </c>
      <c r="Y207" s="3" t="s">
        <v>363</v>
      </c>
      <c r="Z207" s="3">
        <v>0</v>
      </c>
      <c r="AA207" s="3">
        <v>1</v>
      </c>
      <c r="AB207" s="11" t="s">
        <v>397</v>
      </c>
    </row>
    <row r="208" spans="1:28">
      <c r="A208" s="3" t="s">
        <v>91</v>
      </c>
      <c r="B208" s="3" t="s">
        <v>92</v>
      </c>
      <c r="C208" s="3">
        <v>9</v>
      </c>
      <c r="D208" s="3" t="s">
        <v>164</v>
      </c>
      <c r="E208" s="3">
        <v>1</v>
      </c>
      <c r="F208" s="3">
        <v>2015</v>
      </c>
      <c r="G208" s="4">
        <v>2.30504</v>
      </c>
      <c r="H208" s="3">
        <v>3</v>
      </c>
      <c r="I208" s="4">
        <f t="shared" si="30"/>
        <v>6.8710455536257528E-2</v>
      </c>
      <c r="J208" s="4">
        <v>3.9670000000000094E-2</v>
      </c>
      <c r="K208" s="4">
        <v>2.3439399999999999</v>
      </c>
      <c r="L208" s="3">
        <v>3</v>
      </c>
      <c r="M208" s="4">
        <f t="shared" ref="M208:M239" si="34" xml:space="preserve"> N208 * SQRT(L208)</f>
        <v>0.12680343962211749</v>
      </c>
      <c r="N208" s="4">
        <v>7.3209999999999997E-2</v>
      </c>
      <c r="O208" s="4">
        <f t="shared" si="32"/>
        <v>1.673524424030997E-2</v>
      </c>
      <c r="P208" s="4">
        <f t="shared" si="33"/>
        <v>1.2717341866597478E-3</v>
      </c>
      <c r="Q208" s="4" t="s">
        <v>299</v>
      </c>
      <c r="R208" s="3" t="s">
        <v>131</v>
      </c>
      <c r="S208" s="3" t="s">
        <v>221</v>
      </c>
      <c r="T208" s="3" t="s">
        <v>97</v>
      </c>
      <c r="U208" s="3" t="s">
        <v>335</v>
      </c>
      <c r="V208" s="3" t="s">
        <v>332</v>
      </c>
      <c r="W208" s="3" t="s">
        <v>329</v>
      </c>
      <c r="X208" s="3" t="s">
        <v>123</v>
      </c>
      <c r="Y208" s="3" t="s">
        <v>363</v>
      </c>
      <c r="Z208" s="3">
        <v>0</v>
      </c>
      <c r="AA208" s="3">
        <v>1</v>
      </c>
      <c r="AB208" s="11" t="s">
        <v>397</v>
      </c>
    </row>
    <row r="209" spans="1:28">
      <c r="A209" s="3" t="s">
        <v>91</v>
      </c>
      <c r="B209" s="3" t="s">
        <v>92</v>
      </c>
      <c r="C209" s="3">
        <v>10</v>
      </c>
      <c r="D209" s="3" t="s">
        <v>164</v>
      </c>
      <c r="E209" s="3">
        <v>1</v>
      </c>
      <c r="F209" s="3">
        <v>2015</v>
      </c>
      <c r="G209" s="4">
        <v>2.30504</v>
      </c>
      <c r="H209" s="3">
        <v>3</v>
      </c>
      <c r="I209" s="4">
        <f t="shared" si="30"/>
        <v>6.8710455536257528E-2</v>
      </c>
      <c r="J209" s="4">
        <v>3.9670000000000094E-2</v>
      </c>
      <c r="K209" s="4">
        <v>2.3359700000000001</v>
      </c>
      <c r="L209" s="3">
        <v>3</v>
      </c>
      <c r="M209" s="4">
        <f t="shared" si="34"/>
        <v>0.11206368724970593</v>
      </c>
      <c r="N209" s="4">
        <v>6.4699999999999758E-2</v>
      </c>
      <c r="O209" s="4">
        <f t="shared" si="32"/>
        <v>1.3329192540546117E-2</v>
      </c>
      <c r="P209" s="4">
        <f t="shared" si="33"/>
        <v>1.063326966214129E-3</v>
      </c>
      <c r="Q209" s="4" t="s">
        <v>299</v>
      </c>
      <c r="R209" s="3" t="s">
        <v>131</v>
      </c>
      <c r="S209" s="3" t="s">
        <v>221</v>
      </c>
      <c r="T209" s="3" t="s">
        <v>97</v>
      </c>
      <c r="U209" s="3" t="s">
        <v>337</v>
      </c>
      <c r="V209" s="3" t="s">
        <v>332</v>
      </c>
      <c r="W209" s="3" t="s">
        <v>329</v>
      </c>
      <c r="X209" s="3" t="s">
        <v>123</v>
      </c>
      <c r="Y209" s="3" t="s">
        <v>363</v>
      </c>
      <c r="Z209" s="3">
        <v>0</v>
      </c>
      <c r="AA209" s="3">
        <v>1</v>
      </c>
      <c r="AB209" s="11" t="s">
        <v>397</v>
      </c>
    </row>
    <row r="210" spans="1:28">
      <c r="A210" s="3" t="s">
        <v>91</v>
      </c>
      <c r="B210" s="3" t="s">
        <v>92</v>
      </c>
      <c r="C210" s="3">
        <v>11</v>
      </c>
      <c r="D210" s="3" t="s">
        <v>164</v>
      </c>
      <c r="E210" s="3">
        <v>1</v>
      </c>
      <c r="F210" s="3">
        <v>2015</v>
      </c>
      <c r="G210" s="4">
        <v>2.37405</v>
      </c>
      <c r="H210" s="3">
        <v>3</v>
      </c>
      <c r="I210" s="4">
        <f t="shared" si="30"/>
        <v>5.6967151060940517E-2</v>
      </c>
      <c r="J210" s="4">
        <v>3.2890000000000086E-2</v>
      </c>
      <c r="K210" s="4">
        <v>2.5464099999999998</v>
      </c>
      <c r="L210" s="3">
        <v>3</v>
      </c>
      <c r="M210" s="4">
        <f t="shared" si="34"/>
        <v>9.4951025270926387E-2</v>
      </c>
      <c r="N210" s="4">
        <v>5.4820000000000313E-2</v>
      </c>
      <c r="O210" s="4">
        <f t="shared" si="32"/>
        <v>7.0087166625556724E-2</v>
      </c>
      <c r="P210" s="4">
        <f t="shared" si="33"/>
        <v>6.5540203771149628E-4</v>
      </c>
      <c r="Q210" s="4" t="s">
        <v>299</v>
      </c>
      <c r="R210" s="3" t="s">
        <v>131</v>
      </c>
      <c r="S210" s="3" t="s">
        <v>221</v>
      </c>
      <c r="T210" s="3" t="s">
        <v>97</v>
      </c>
      <c r="U210" s="3" t="s">
        <v>335</v>
      </c>
      <c r="V210" s="3" t="s">
        <v>332</v>
      </c>
      <c r="W210" s="3" t="s">
        <v>329</v>
      </c>
      <c r="X210" s="3" t="s">
        <v>123</v>
      </c>
      <c r="Y210" s="3" t="s">
        <v>363</v>
      </c>
      <c r="Z210" s="3">
        <v>0</v>
      </c>
      <c r="AA210" s="3">
        <v>1</v>
      </c>
      <c r="AB210" s="11" t="s">
        <v>397</v>
      </c>
    </row>
    <row r="211" spans="1:28">
      <c r="A211" s="3" t="s">
        <v>91</v>
      </c>
      <c r="B211" s="3" t="s">
        <v>92</v>
      </c>
      <c r="C211" s="3">
        <v>12</v>
      </c>
      <c r="D211" s="3" t="s">
        <v>164</v>
      </c>
      <c r="E211" s="3">
        <v>1</v>
      </c>
      <c r="F211" s="3">
        <v>2015</v>
      </c>
      <c r="G211" s="4">
        <v>2.37405</v>
      </c>
      <c r="H211" s="3">
        <v>3</v>
      </c>
      <c r="I211" s="4">
        <f t="shared" si="30"/>
        <v>5.6967151060940517E-2</v>
      </c>
      <c r="J211" s="4">
        <v>3.2890000000000086E-2</v>
      </c>
      <c r="K211" s="4">
        <v>2.5754199999999998</v>
      </c>
      <c r="L211" s="3">
        <v>3</v>
      </c>
      <c r="M211" s="4">
        <f t="shared" si="34"/>
        <v>0.12044681315834038</v>
      </c>
      <c r="N211" s="4">
        <v>6.9540000000000379E-2</v>
      </c>
      <c r="O211" s="4">
        <f t="shared" si="32"/>
        <v>8.1415270146083935E-2</v>
      </c>
      <c r="P211" s="4">
        <f t="shared" si="33"/>
        <v>9.2100902366712889E-4</v>
      </c>
      <c r="Q211" s="4" t="s">
        <v>299</v>
      </c>
      <c r="R211" s="3" t="s">
        <v>131</v>
      </c>
      <c r="S211" s="3" t="s">
        <v>221</v>
      </c>
      <c r="T211" s="3" t="s">
        <v>97</v>
      </c>
      <c r="U211" s="3" t="s">
        <v>337</v>
      </c>
      <c r="V211" s="3" t="s">
        <v>332</v>
      </c>
      <c r="W211" s="3" t="s">
        <v>329</v>
      </c>
      <c r="X211" s="3" t="s">
        <v>123</v>
      </c>
      <c r="Y211" s="3" t="s">
        <v>363</v>
      </c>
      <c r="Z211" s="3">
        <v>0</v>
      </c>
      <c r="AA211" s="3">
        <v>1</v>
      </c>
      <c r="AB211" s="11" t="s">
        <v>397</v>
      </c>
    </row>
    <row r="212" spans="1:28">
      <c r="A212" s="3" t="s">
        <v>91</v>
      </c>
      <c r="B212" s="3" t="s">
        <v>92</v>
      </c>
      <c r="C212" s="3">
        <v>13</v>
      </c>
      <c r="D212" s="3" t="s">
        <v>164</v>
      </c>
      <c r="E212" s="3">
        <v>1</v>
      </c>
      <c r="F212" s="3">
        <v>2015</v>
      </c>
      <c r="G212" s="4">
        <v>2.4771200000000002</v>
      </c>
      <c r="H212" s="3">
        <v>3</v>
      </c>
      <c r="I212" s="4">
        <f t="shared" si="30"/>
        <v>0.16111536612005636</v>
      </c>
      <c r="J212" s="4">
        <v>9.3019999999999659E-2</v>
      </c>
      <c r="K212" s="4">
        <v>2.4858600000000002</v>
      </c>
      <c r="L212" s="3">
        <v>3</v>
      </c>
      <c r="M212" s="4">
        <f t="shared" si="34"/>
        <v>0.17679042592855509</v>
      </c>
      <c r="N212" s="4">
        <v>0.10206999999999988</v>
      </c>
      <c r="O212" s="4">
        <f t="shared" si="32"/>
        <v>3.5220811024881437E-3</v>
      </c>
      <c r="P212" s="4">
        <f t="shared" si="33"/>
        <v>3.0960711761342866E-3</v>
      </c>
      <c r="Q212" s="4" t="s">
        <v>299</v>
      </c>
      <c r="R212" s="3" t="s">
        <v>131</v>
      </c>
      <c r="S212" s="3" t="s">
        <v>221</v>
      </c>
      <c r="T212" s="3" t="s">
        <v>97</v>
      </c>
      <c r="U212" s="3" t="s">
        <v>335</v>
      </c>
      <c r="V212" s="3" t="s">
        <v>332</v>
      </c>
      <c r="W212" s="3" t="s">
        <v>329</v>
      </c>
      <c r="X212" s="3" t="s">
        <v>123</v>
      </c>
      <c r="Y212" s="3" t="s">
        <v>363</v>
      </c>
      <c r="Z212" s="3">
        <v>0</v>
      </c>
      <c r="AA212" s="3">
        <v>2</v>
      </c>
      <c r="AB212" s="11" t="s">
        <v>397</v>
      </c>
    </row>
    <row r="213" spans="1:28">
      <c r="A213" s="3" t="s">
        <v>91</v>
      </c>
      <c r="B213" s="3" t="s">
        <v>92</v>
      </c>
      <c r="C213" s="3">
        <v>14</v>
      </c>
      <c r="D213" s="3" t="s">
        <v>164</v>
      </c>
      <c r="E213" s="3">
        <v>1</v>
      </c>
      <c r="F213" s="3">
        <v>2015</v>
      </c>
      <c r="G213" s="4">
        <v>2.4771200000000002</v>
      </c>
      <c r="H213" s="3">
        <v>3</v>
      </c>
      <c r="I213" s="4">
        <f t="shared" si="30"/>
        <v>0.16111536612005636</v>
      </c>
      <c r="J213" s="4">
        <v>9.3019999999999659E-2</v>
      </c>
      <c r="K213" s="4">
        <v>2.4267500000000002</v>
      </c>
      <c r="L213" s="3">
        <v>3</v>
      </c>
      <c r="M213" s="4">
        <f t="shared" si="34"/>
        <v>6.7151609809445317E-2</v>
      </c>
      <c r="N213" s="4">
        <v>3.8769999999999971E-2</v>
      </c>
      <c r="O213" s="4">
        <f t="shared" si="32"/>
        <v>-2.0543681424012951E-2</v>
      </c>
      <c r="P213" s="4">
        <f t="shared" si="33"/>
        <v>1.6653639006979195E-3</v>
      </c>
      <c r="Q213" s="4" t="s">
        <v>299</v>
      </c>
      <c r="R213" s="3" t="s">
        <v>131</v>
      </c>
      <c r="S213" s="3" t="s">
        <v>221</v>
      </c>
      <c r="T213" s="3" t="s">
        <v>97</v>
      </c>
      <c r="U213" s="3" t="s">
        <v>337</v>
      </c>
      <c r="V213" s="3" t="s">
        <v>332</v>
      </c>
      <c r="W213" s="3" t="s">
        <v>329</v>
      </c>
      <c r="X213" s="3" t="s">
        <v>123</v>
      </c>
      <c r="Y213" s="3" t="s">
        <v>363</v>
      </c>
      <c r="Z213" s="3">
        <v>0</v>
      </c>
      <c r="AA213" s="3">
        <v>2</v>
      </c>
      <c r="AB213" s="11" t="s">
        <v>397</v>
      </c>
    </row>
    <row r="214" spans="1:28">
      <c r="A214" s="3" t="s">
        <v>91</v>
      </c>
      <c r="B214" s="3" t="s">
        <v>92</v>
      </c>
      <c r="C214" s="3">
        <v>15</v>
      </c>
      <c r="D214" s="3" t="s">
        <v>164</v>
      </c>
      <c r="E214" s="3">
        <v>1</v>
      </c>
      <c r="F214" s="3">
        <v>2015</v>
      </c>
      <c r="G214" s="4">
        <v>2.5078999999999998</v>
      </c>
      <c r="H214" s="3">
        <v>3</v>
      </c>
      <c r="I214" s="4">
        <f t="shared" si="30"/>
        <v>0.13468427079655598</v>
      </c>
      <c r="J214" s="4">
        <v>7.7760000000000051E-2</v>
      </c>
      <c r="K214" s="4">
        <v>2.6300300000000001</v>
      </c>
      <c r="L214" s="3">
        <v>3</v>
      </c>
      <c r="M214" s="4">
        <f t="shared" si="34"/>
        <v>0.12392823528155278</v>
      </c>
      <c r="N214" s="4">
        <v>7.154999999999978E-2</v>
      </c>
      <c r="O214" s="4">
        <f t="shared" si="32"/>
        <v>4.7549503401266908E-2</v>
      </c>
      <c r="P214" s="4">
        <f t="shared" si="33"/>
        <v>1.7014860619111345E-3</v>
      </c>
      <c r="Q214" s="4" t="s">
        <v>299</v>
      </c>
      <c r="R214" s="3" t="s">
        <v>131</v>
      </c>
      <c r="S214" s="3" t="s">
        <v>221</v>
      </c>
      <c r="T214" s="3" t="s">
        <v>97</v>
      </c>
      <c r="U214" s="3" t="s">
        <v>335</v>
      </c>
      <c r="V214" s="3" t="s">
        <v>332</v>
      </c>
      <c r="W214" s="3" t="s">
        <v>329</v>
      </c>
      <c r="X214" s="3" t="s">
        <v>123</v>
      </c>
      <c r="Y214" s="3" t="s">
        <v>363</v>
      </c>
      <c r="Z214" s="3">
        <v>0</v>
      </c>
      <c r="AA214" s="3">
        <v>3</v>
      </c>
      <c r="AB214" s="11" t="s">
        <v>397</v>
      </c>
    </row>
    <row r="215" spans="1:28">
      <c r="A215" s="3" t="s">
        <v>91</v>
      </c>
      <c r="B215" s="3" t="s">
        <v>92</v>
      </c>
      <c r="C215" s="3">
        <v>16</v>
      </c>
      <c r="D215" s="3" t="s">
        <v>164</v>
      </c>
      <c r="E215" s="3">
        <v>1</v>
      </c>
      <c r="F215" s="3">
        <v>2015</v>
      </c>
      <c r="G215" s="4">
        <v>2.5078999999999998</v>
      </c>
      <c r="H215" s="3">
        <v>3</v>
      </c>
      <c r="I215" s="4">
        <f t="shared" si="30"/>
        <v>0.13468427079655598</v>
      </c>
      <c r="J215" s="4">
        <v>7.7760000000000051E-2</v>
      </c>
      <c r="K215" s="4">
        <v>2.5567299999999999</v>
      </c>
      <c r="L215" s="3">
        <v>3</v>
      </c>
      <c r="M215" s="4">
        <f t="shared" si="34"/>
        <v>9.6076858295845849E-2</v>
      </c>
      <c r="N215" s="4">
        <v>5.547000000000013E-2</v>
      </c>
      <c r="O215" s="4">
        <f t="shared" si="32"/>
        <v>1.9283348675114189E-2</v>
      </c>
      <c r="P215" s="4">
        <f t="shared" si="33"/>
        <v>1.4320759364201694E-3</v>
      </c>
      <c r="Q215" s="4" t="s">
        <v>299</v>
      </c>
      <c r="R215" s="3" t="s">
        <v>131</v>
      </c>
      <c r="S215" s="3" t="s">
        <v>221</v>
      </c>
      <c r="T215" s="3" t="s">
        <v>97</v>
      </c>
      <c r="U215" s="3" t="s">
        <v>337</v>
      </c>
      <c r="V215" s="3" t="s">
        <v>332</v>
      </c>
      <c r="W215" s="3" t="s">
        <v>329</v>
      </c>
      <c r="X215" s="3" t="s">
        <v>123</v>
      </c>
      <c r="Y215" s="3" t="s">
        <v>363</v>
      </c>
      <c r="Z215" s="3">
        <v>0</v>
      </c>
      <c r="AA215" s="3">
        <v>3</v>
      </c>
      <c r="AB215" s="11" t="s">
        <v>397</v>
      </c>
    </row>
    <row r="216" spans="1:28">
      <c r="A216" s="3" t="s">
        <v>365</v>
      </c>
      <c r="B216" s="3" t="s">
        <v>144</v>
      </c>
      <c r="C216" s="3">
        <v>1</v>
      </c>
      <c r="D216" s="3" t="s">
        <v>6</v>
      </c>
      <c r="E216" s="3">
        <v>1.9</v>
      </c>
      <c r="F216" s="3">
        <v>2014</v>
      </c>
      <c r="G216" s="4">
        <v>121.56862750000001</v>
      </c>
      <c r="H216" s="3">
        <v>12</v>
      </c>
      <c r="I216" s="4">
        <f t="shared" ref="I216:I227" si="35" xml:space="preserve"> J216 * SQRT(H216)</f>
        <v>94.117647050326156</v>
      </c>
      <c r="J216" s="4">
        <v>27.169424429999999</v>
      </c>
      <c r="K216" s="4">
        <v>123.9215686</v>
      </c>
      <c r="L216" s="3">
        <v>12</v>
      </c>
      <c r="M216" s="4">
        <f t="shared" si="34"/>
        <v>103.52941174496647</v>
      </c>
      <c r="N216" s="4">
        <v>29.88636687</v>
      </c>
      <c r="O216" s="4">
        <f t="shared" si="32"/>
        <v>1.9169915482975374E-2</v>
      </c>
      <c r="P216" s="4">
        <f t="shared" si="33"/>
        <v>0.1081117266263372</v>
      </c>
      <c r="Q216" s="4" t="s">
        <v>312</v>
      </c>
      <c r="R216" s="3" t="s">
        <v>176</v>
      </c>
      <c r="S216" s="3" t="s">
        <v>221</v>
      </c>
      <c r="T216" s="3" t="s">
        <v>8</v>
      </c>
      <c r="U216" s="3" t="s">
        <v>337</v>
      </c>
      <c r="V216" s="3" t="s">
        <v>165</v>
      </c>
      <c r="W216" s="3" t="s">
        <v>112</v>
      </c>
      <c r="X216" s="3" t="s">
        <v>98</v>
      </c>
      <c r="Y216" s="3" t="s">
        <v>363</v>
      </c>
      <c r="Z216" s="3" t="s">
        <v>363</v>
      </c>
      <c r="AA216" s="3" t="s">
        <v>363</v>
      </c>
      <c r="AB216" s="11" t="s">
        <v>397</v>
      </c>
    </row>
    <row r="217" spans="1:28">
      <c r="A217" s="3" t="s">
        <v>365</v>
      </c>
      <c r="B217" s="3" t="s">
        <v>144</v>
      </c>
      <c r="C217" s="3">
        <v>2</v>
      </c>
      <c r="D217" s="3" t="s">
        <v>145</v>
      </c>
      <c r="E217" s="3">
        <v>1.9</v>
      </c>
      <c r="F217" s="3">
        <v>2014</v>
      </c>
      <c r="G217" s="4">
        <v>123.1372549</v>
      </c>
      <c r="H217" s="3">
        <v>12</v>
      </c>
      <c r="I217" s="4">
        <f t="shared" si="35"/>
        <v>65.882352931764217</v>
      </c>
      <c r="J217" s="4">
        <v>19.018597100000001</v>
      </c>
      <c r="K217" s="4">
        <v>69.80392157</v>
      </c>
      <c r="L217" s="3">
        <v>12</v>
      </c>
      <c r="M217" s="4">
        <f t="shared" si="34"/>
        <v>178.823529371371</v>
      </c>
      <c r="N217" s="4">
        <v>51.621906410000001</v>
      </c>
      <c r="O217" s="4">
        <f t="shared" si="32"/>
        <v>-0.56760943558058186</v>
      </c>
      <c r="P217" s="4">
        <f t="shared" si="33"/>
        <v>0.57075556670407424</v>
      </c>
      <c r="Q217" s="4" t="s">
        <v>312</v>
      </c>
      <c r="R217" s="3" t="s">
        <v>176</v>
      </c>
      <c r="S217" s="3" t="s">
        <v>221</v>
      </c>
      <c r="T217" s="3" t="s">
        <v>8</v>
      </c>
      <c r="U217" s="3" t="s">
        <v>337</v>
      </c>
      <c r="V217" s="3" t="s">
        <v>165</v>
      </c>
      <c r="W217" s="3" t="s">
        <v>111</v>
      </c>
      <c r="X217" s="3" t="s">
        <v>98</v>
      </c>
      <c r="Y217" s="3" t="s">
        <v>363</v>
      </c>
      <c r="Z217" s="3" t="s">
        <v>363</v>
      </c>
      <c r="AA217" s="3" t="s">
        <v>363</v>
      </c>
      <c r="AB217" s="11" t="s">
        <v>397</v>
      </c>
    </row>
    <row r="218" spans="1:28">
      <c r="A218" s="3" t="s">
        <v>365</v>
      </c>
      <c r="B218" s="3" t="s">
        <v>144</v>
      </c>
      <c r="C218" s="3">
        <v>3</v>
      </c>
      <c r="D218" s="3" t="s">
        <v>145</v>
      </c>
      <c r="E218" s="3">
        <v>1.9</v>
      </c>
      <c r="F218" s="3">
        <v>2014</v>
      </c>
      <c r="G218" s="4">
        <v>5.0588235289999997</v>
      </c>
      <c r="H218" s="3">
        <v>12</v>
      </c>
      <c r="I218" s="4">
        <f t="shared" si="35"/>
        <v>9.4117647015685151</v>
      </c>
      <c r="J218" s="4">
        <v>2.7169424420000001</v>
      </c>
      <c r="K218" s="4">
        <v>3.3725490200000001</v>
      </c>
      <c r="L218" s="3">
        <v>12</v>
      </c>
      <c r="M218" s="4">
        <f t="shared" si="34"/>
        <v>3.2941176465882109</v>
      </c>
      <c r="N218" s="4">
        <v>0.95092985500000005</v>
      </c>
      <c r="O218" s="4">
        <f t="shared" si="32"/>
        <v>-0.4054651079104899</v>
      </c>
      <c r="P218" s="4">
        <f t="shared" si="33"/>
        <v>0.3679466375635832</v>
      </c>
      <c r="Q218" s="4" t="s">
        <v>295</v>
      </c>
      <c r="R218" s="3" t="s">
        <v>276</v>
      </c>
      <c r="S218" s="3" t="s">
        <v>221</v>
      </c>
      <c r="T218" s="3" t="s">
        <v>8</v>
      </c>
      <c r="U218" s="3" t="s">
        <v>337</v>
      </c>
      <c r="V218" s="3" t="s">
        <v>165</v>
      </c>
      <c r="W218" s="3" t="s">
        <v>111</v>
      </c>
      <c r="X218" s="3" t="s">
        <v>98</v>
      </c>
      <c r="Y218" s="3" t="s">
        <v>363</v>
      </c>
      <c r="Z218" s="3" t="s">
        <v>363</v>
      </c>
      <c r="AA218" s="3" t="s">
        <v>363</v>
      </c>
      <c r="AB218" s="11" t="s">
        <v>397</v>
      </c>
    </row>
    <row r="219" spans="1:28">
      <c r="A219" s="3" t="s">
        <v>365</v>
      </c>
      <c r="B219" s="3" t="s">
        <v>144</v>
      </c>
      <c r="C219" s="3">
        <v>4</v>
      </c>
      <c r="D219" s="3" t="s">
        <v>145</v>
      </c>
      <c r="E219" s="3">
        <v>1.9</v>
      </c>
      <c r="F219" s="3">
        <v>2014</v>
      </c>
      <c r="G219" s="4">
        <v>7.0588235289999997</v>
      </c>
      <c r="H219" s="3">
        <v>12</v>
      </c>
      <c r="I219" s="4">
        <f t="shared" si="35"/>
        <v>14.117647055816875</v>
      </c>
      <c r="J219" s="4">
        <v>4.075413664</v>
      </c>
      <c r="K219" s="4">
        <v>6.274509804</v>
      </c>
      <c r="L219" s="3">
        <v>12</v>
      </c>
      <c r="M219" s="4">
        <f t="shared" si="34"/>
        <v>9.4117647015685151</v>
      </c>
      <c r="N219" s="4">
        <v>2.7169424420000001</v>
      </c>
      <c r="O219" s="4">
        <f t="shared" si="32"/>
        <v>-0.11778303558555005</v>
      </c>
      <c r="P219" s="4">
        <f t="shared" si="33"/>
        <v>0.52083333305367441</v>
      </c>
      <c r="Q219" s="4" t="s">
        <v>295</v>
      </c>
      <c r="R219" s="3" t="s">
        <v>276</v>
      </c>
      <c r="S219" s="3" t="s">
        <v>221</v>
      </c>
      <c r="T219" s="3" t="s">
        <v>8</v>
      </c>
      <c r="U219" s="3" t="s">
        <v>337</v>
      </c>
      <c r="V219" s="3" t="s">
        <v>165</v>
      </c>
      <c r="W219" s="3" t="s">
        <v>111</v>
      </c>
      <c r="X219" s="3" t="s">
        <v>98</v>
      </c>
      <c r="Y219" s="3" t="s">
        <v>363</v>
      </c>
      <c r="Z219" s="3" t="s">
        <v>363</v>
      </c>
      <c r="AA219" s="3" t="s">
        <v>363</v>
      </c>
      <c r="AB219" s="11" t="s">
        <v>397</v>
      </c>
    </row>
    <row r="220" spans="1:28">
      <c r="A220" s="3" t="s">
        <v>365</v>
      </c>
      <c r="B220" s="3" t="s">
        <v>144</v>
      </c>
      <c r="C220" s="3">
        <v>5</v>
      </c>
      <c r="D220" s="3" t="s">
        <v>145</v>
      </c>
      <c r="E220" s="3">
        <v>1.9</v>
      </c>
      <c r="F220" s="3">
        <v>2014</v>
      </c>
      <c r="G220" s="4">
        <v>58.553191490000003</v>
      </c>
      <c r="H220" s="3">
        <v>24</v>
      </c>
      <c r="I220" s="4">
        <f t="shared" si="35"/>
        <v>65.361702138865354</v>
      </c>
      <c r="J220" s="4">
        <v>13.34190158</v>
      </c>
      <c r="K220" s="4">
        <v>57.191489359999998</v>
      </c>
      <c r="L220" s="3">
        <v>24</v>
      </c>
      <c r="M220" s="4">
        <f t="shared" si="34"/>
        <v>57.191489359259734</v>
      </c>
      <c r="N220" s="4">
        <v>11.67416388</v>
      </c>
      <c r="O220" s="4">
        <f t="shared" si="32"/>
        <v>-2.3530497450857266E-2</v>
      </c>
      <c r="P220" s="4">
        <f t="shared" si="33"/>
        <v>9.358662341562804E-2</v>
      </c>
      <c r="Q220" s="4" t="s">
        <v>295</v>
      </c>
      <c r="R220" s="3" t="s">
        <v>279</v>
      </c>
      <c r="S220" s="3" t="s">
        <v>221</v>
      </c>
      <c r="T220" s="3" t="s">
        <v>8</v>
      </c>
      <c r="U220" s="3" t="s">
        <v>337</v>
      </c>
      <c r="V220" s="3" t="s">
        <v>165</v>
      </c>
      <c r="W220" s="3" t="s">
        <v>111</v>
      </c>
      <c r="X220" s="3" t="s">
        <v>98</v>
      </c>
      <c r="Y220" s="3" t="s">
        <v>363</v>
      </c>
      <c r="Z220" s="3" t="s">
        <v>363</v>
      </c>
      <c r="AA220" s="3" t="s">
        <v>363</v>
      </c>
      <c r="AB220" s="11" t="s">
        <v>397</v>
      </c>
    </row>
    <row r="221" spans="1:28">
      <c r="A221" s="3" t="s">
        <v>365</v>
      </c>
      <c r="B221" s="3" t="s">
        <v>144</v>
      </c>
      <c r="C221" s="3">
        <v>6</v>
      </c>
      <c r="D221" s="3" t="s">
        <v>145</v>
      </c>
      <c r="E221" s="3">
        <v>1.9</v>
      </c>
      <c r="F221" s="3">
        <v>2014</v>
      </c>
      <c r="G221" s="4">
        <v>30.76923077</v>
      </c>
      <c r="H221" s="3">
        <v>24</v>
      </c>
      <c r="I221" s="4">
        <f t="shared" si="35"/>
        <v>57.435897437213043</v>
      </c>
      <c r="J221" s="4">
        <v>11.724053469999999</v>
      </c>
      <c r="K221" s="4">
        <v>33.504273499999996</v>
      </c>
      <c r="L221" s="3">
        <v>24</v>
      </c>
      <c r="M221" s="4">
        <f t="shared" si="34"/>
        <v>49.230769238895441</v>
      </c>
      <c r="N221" s="4">
        <v>10.049188689999999</v>
      </c>
      <c r="O221" s="4">
        <f t="shared" si="32"/>
        <v>8.5157808187755729E-2</v>
      </c>
      <c r="P221" s="4">
        <f t="shared" si="33"/>
        <v>0.23514770085571807</v>
      </c>
      <c r="Q221" s="4" t="s">
        <v>314</v>
      </c>
      <c r="R221" s="3" t="s">
        <v>232</v>
      </c>
      <c r="S221" s="3" t="s">
        <v>221</v>
      </c>
      <c r="T221" s="3" t="s">
        <v>8</v>
      </c>
      <c r="U221" s="3" t="s">
        <v>337</v>
      </c>
      <c r="V221" s="3" t="s">
        <v>165</v>
      </c>
      <c r="W221" s="3" t="s">
        <v>111</v>
      </c>
      <c r="X221" s="3" t="s">
        <v>98</v>
      </c>
      <c r="Y221" s="3" t="s">
        <v>363</v>
      </c>
      <c r="Z221" s="3" t="s">
        <v>363</v>
      </c>
      <c r="AA221" s="3" t="s">
        <v>363</v>
      </c>
      <c r="AB221" s="11" t="s">
        <v>397</v>
      </c>
    </row>
    <row r="222" spans="1:28">
      <c r="A222" s="3" t="s">
        <v>366</v>
      </c>
      <c r="B222" s="3" t="s">
        <v>140</v>
      </c>
      <c r="C222" s="3">
        <v>1</v>
      </c>
      <c r="D222" s="3" t="s">
        <v>62</v>
      </c>
      <c r="E222" s="3">
        <v>1.7</v>
      </c>
      <c r="F222" s="3">
        <v>2019</v>
      </c>
      <c r="G222" s="4">
        <v>4.72</v>
      </c>
      <c r="H222" s="3">
        <v>15</v>
      </c>
      <c r="I222" s="4">
        <f t="shared" si="35"/>
        <v>8.5499999986900495</v>
      </c>
      <c r="J222" s="4">
        <v>2.207600507</v>
      </c>
      <c r="K222" s="4">
        <v>2.48</v>
      </c>
      <c r="L222" s="3">
        <v>15</v>
      </c>
      <c r="M222" s="4">
        <f t="shared" si="34"/>
        <v>5.549999999625312</v>
      </c>
      <c r="N222" s="4">
        <v>1.4330038380000001</v>
      </c>
      <c r="O222" s="4">
        <f t="shared" si="32"/>
        <v>-0.6435502394205731</v>
      </c>
      <c r="P222" s="4">
        <f t="shared" si="33"/>
        <v>0.5526352117455684</v>
      </c>
      <c r="Q222" s="4" t="s">
        <v>295</v>
      </c>
      <c r="R222" s="3" t="s">
        <v>277</v>
      </c>
      <c r="S222" s="3" t="s">
        <v>221</v>
      </c>
      <c r="T222" s="3" t="s">
        <v>8</v>
      </c>
      <c r="U222" s="3" t="s">
        <v>337</v>
      </c>
      <c r="V222" s="3" t="s">
        <v>165</v>
      </c>
      <c r="W222" s="3" t="s">
        <v>112</v>
      </c>
      <c r="X222" s="3" t="s">
        <v>98</v>
      </c>
      <c r="Y222" s="3" t="s">
        <v>363</v>
      </c>
      <c r="Z222" s="3" t="s">
        <v>363</v>
      </c>
      <c r="AA222" s="3" t="s">
        <v>363</v>
      </c>
      <c r="AB222" s="11" t="s">
        <v>397</v>
      </c>
    </row>
    <row r="223" spans="1:28">
      <c r="A223" s="3" t="s">
        <v>366</v>
      </c>
      <c r="B223" s="3" t="s">
        <v>140</v>
      </c>
      <c r="C223" s="3">
        <v>2</v>
      </c>
      <c r="D223" s="3" t="s">
        <v>139</v>
      </c>
      <c r="E223" s="3">
        <v>1.7</v>
      </c>
      <c r="F223" s="3">
        <v>2019</v>
      </c>
      <c r="G223" s="4">
        <v>6.58</v>
      </c>
      <c r="H223" s="3">
        <v>15</v>
      </c>
      <c r="I223" s="4">
        <f t="shared" si="35"/>
        <v>15.599999999784224</v>
      </c>
      <c r="J223" s="4">
        <v>4.0279026800000004</v>
      </c>
      <c r="K223" s="4">
        <v>7.15</v>
      </c>
      <c r="L223" s="3">
        <v>15</v>
      </c>
      <c r="M223" s="4">
        <f t="shared" si="34"/>
        <v>7.6500000016817173</v>
      </c>
      <c r="N223" s="4">
        <v>1.9752215070000001</v>
      </c>
      <c r="O223" s="4">
        <f t="shared" si="32"/>
        <v>8.3077611368690407E-2</v>
      </c>
      <c r="P223" s="4">
        <f t="shared" si="33"/>
        <v>0.45103606653268974</v>
      </c>
      <c r="Q223" s="4" t="s">
        <v>295</v>
      </c>
      <c r="R223" s="3" t="s">
        <v>278</v>
      </c>
      <c r="S223" s="3" t="s">
        <v>221</v>
      </c>
      <c r="T223" s="3" t="s">
        <v>8</v>
      </c>
      <c r="U223" s="3" t="s">
        <v>337</v>
      </c>
      <c r="V223" s="3" t="s">
        <v>165</v>
      </c>
      <c r="W223" s="3" t="s">
        <v>112</v>
      </c>
      <c r="X223" s="3" t="s">
        <v>98</v>
      </c>
      <c r="Y223" s="3" t="s">
        <v>363</v>
      </c>
      <c r="Z223" s="3" t="s">
        <v>363</v>
      </c>
      <c r="AA223" s="3" t="s">
        <v>363</v>
      </c>
      <c r="AB223" s="11" t="s">
        <v>397</v>
      </c>
    </row>
    <row r="224" spans="1:28">
      <c r="A224" s="3" t="s">
        <v>366</v>
      </c>
      <c r="B224" s="3" t="s">
        <v>140</v>
      </c>
      <c r="C224" s="3">
        <v>3</v>
      </c>
      <c r="D224" s="3" t="s">
        <v>139</v>
      </c>
      <c r="E224" s="3">
        <v>1.7</v>
      </c>
      <c r="F224" s="3">
        <v>2019</v>
      </c>
      <c r="G224" s="4">
        <v>0.38</v>
      </c>
      <c r="H224" s="3">
        <v>15</v>
      </c>
      <c r="I224" s="4">
        <f t="shared" si="35"/>
        <v>0.60000000058754444</v>
      </c>
      <c r="J224" s="4">
        <v>0.15491933399999999</v>
      </c>
      <c r="K224" s="4">
        <v>0.41</v>
      </c>
      <c r="L224" s="3">
        <v>15</v>
      </c>
      <c r="M224" s="4">
        <f t="shared" si="34"/>
        <v>0.60000000058754444</v>
      </c>
      <c r="N224" s="4">
        <v>0.15491933399999999</v>
      </c>
      <c r="O224" s="4">
        <f t="shared" si="32"/>
        <v>7.5985906977922055E-2</v>
      </c>
      <c r="P224" s="4">
        <f t="shared" si="33"/>
        <v>0.30897714618362193</v>
      </c>
      <c r="Q224" s="4" t="s">
        <v>295</v>
      </c>
      <c r="R224" s="3" t="s">
        <v>281</v>
      </c>
      <c r="S224" s="3" t="s">
        <v>221</v>
      </c>
      <c r="T224" s="3" t="s">
        <v>8</v>
      </c>
      <c r="U224" s="3" t="s">
        <v>337</v>
      </c>
      <c r="V224" s="3" t="s">
        <v>165</v>
      </c>
      <c r="W224" s="3" t="s">
        <v>112</v>
      </c>
      <c r="X224" s="3" t="s">
        <v>98</v>
      </c>
      <c r="Y224" s="3" t="s">
        <v>363</v>
      </c>
      <c r="Z224" s="3" t="s">
        <v>363</v>
      </c>
      <c r="AA224" s="3" t="s">
        <v>363</v>
      </c>
      <c r="AB224" s="11" t="s">
        <v>397</v>
      </c>
    </row>
    <row r="225" spans="1:28">
      <c r="A225" s="3" t="s">
        <v>366</v>
      </c>
      <c r="B225" s="3" t="s">
        <v>140</v>
      </c>
      <c r="C225" s="3">
        <v>4</v>
      </c>
      <c r="D225" s="3" t="s">
        <v>139</v>
      </c>
      <c r="E225" s="3">
        <v>1.7</v>
      </c>
      <c r="F225" s="3">
        <v>2019</v>
      </c>
      <c r="G225" s="4">
        <v>0.08</v>
      </c>
      <c r="H225" s="3">
        <v>15</v>
      </c>
      <c r="I225" s="4">
        <f t="shared" si="35"/>
        <v>0.10499999835997777</v>
      </c>
      <c r="J225" s="4">
        <v>2.7110882999999999E-2</v>
      </c>
      <c r="K225" s="4">
        <v>0.09</v>
      </c>
      <c r="L225" s="3">
        <v>15</v>
      </c>
      <c r="M225" s="4">
        <f t="shared" si="34"/>
        <v>0.14999999821039445</v>
      </c>
      <c r="N225" s="4">
        <v>3.8729832999999998E-2</v>
      </c>
      <c r="O225" s="4">
        <f t="shared" si="32"/>
        <v>0.11778303565638346</v>
      </c>
      <c r="P225" s="4">
        <f t="shared" si="33"/>
        <v>0.30002892717885749</v>
      </c>
      <c r="Q225" s="4" t="s">
        <v>315</v>
      </c>
      <c r="R225" s="3" t="s">
        <v>282</v>
      </c>
      <c r="S225" s="3" t="s">
        <v>221</v>
      </c>
      <c r="T225" s="3" t="s">
        <v>8</v>
      </c>
      <c r="U225" s="3" t="s">
        <v>337</v>
      </c>
      <c r="V225" s="3" t="s">
        <v>165</v>
      </c>
      <c r="W225" s="3" t="s">
        <v>112</v>
      </c>
      <c r="X225" s="3" t="s">
        <v>98</v>
      </c>
      <c r="Y225" s="3" t="s">
        <v>363</v>
      </c>
      <c r="Z225" s="3" t="s">
        <v>363</v>
      </c>
      <c r="AA225" s="3" t="s">
        <v>363</v>
      </c>
      <c r="AB225" s="11" t="s">
        <v>397</v>
      </c>
    </row>
    <row r="226" spans="1:28">
      <c r="A226" s="3" t="s">
        <v>366</v>
      </c>
      <c r="B226" s="3" t="s">
        <v>140</v>
      </c>
      <c r="C226" s="3">
        <v>5</v>
      </c>
      <c r="D226" s="3" t="s">
        <v>139</v>
      </c>
      <c r="E226" s="3">
        <v>1.7</v>
      </c>
      <c r="F226" s="3">
        <v>2019</v>
      </c>
      <c r="G226" s="4">
        <v>1.42</v>
      </c>
      <c r="H226" s="3">
        <v>15</v>
      </c>
      <c r="I226" s="4">
        <f t="shared" si="35"/>
        <v>3.2999999993585112</v>
      </c>
      <c r="J226" s="4">
        <v>0.85205633599999997</v>
      </c>
      <c r="K226" s="4">
        <v>1.54</v>
      </c>
      <c r="L226" s="3">
        <v>15</v>
      </c>
      <c r="M226" s="4">
        <f t="shared" si="34"/>
        <v>3.2999999993585112</v>
      </c>
      <c r="N226" s="4">
        <v>0.85205633599999997</v>
      </c>
      <c r="O226" s="4">
        <f t="shared" si="32"/>
        <v>8.1125544812368527E-2</v>
      </c>
      <c r="P226" s="4">
        <f t="shared" si="33"/>
        <v>0.66617005832186704</v>
      </c>
      <c r="Q226" s="4" t="s">
        <v>307</v>
      </c>
      <c r="R226" s="3" t="s">
        <v>283</v>
      </c>
      <c r="S226" s="3" t="s">
        <v>221</v>
      </c>
      <c r="T226" s="3" t="s">
        <v>8</v>
      </c>
      <c r="U226" s="3" t="s">
        <v>337</v>
      </c>
      <c r="V226" s="3" t="s">
        <v>165</v>
      </c>
      <c r="W226" s="3" t="s">
        <v>112</v>
      </c>
      <c r="X226" s="3" t="s">
        <v>98</v>
      </c>
      <c r="Y226" s="3" t="s">
        <v>363</v>
      </c>
      <c r="Z226" s="3" t="s">
        <v>363</v>
      </c>
      <c r="AA226" s="3" t="s">
        <v>363</v>
      </c>
      <c r="AB226" s="11" t="s">
        <v>397</v>
      </c>
    </row>
    <row r="227" spans="1:28">
      <c r="A227" s="3" t="s">
        <v>366</v>
      </c>
      <c r="B227" s="3" t="s">
        <v>140</v>
      </c>
      <c r="C227" s="3">
        <v>6</v>
      </c>
      <c r="D227" s="3" t="s">
        <v>139</v>
      </c>
      <c r="E227" s="3">
        <v>1.7</v>
      </c>
      <c r="F227" s="3">
        <v>2019</v>
      </c>
      <c r="G227" s="4">
        <v>0.33</v>
      </c>
      <c r="H227" s="3">
        <v>15</v>
      </c>
      <c r="I227" s="4">
        <f t="shared" si="35"/>
        <v>0.44999999850416667</v>
      </c>
      <c r="J227" s="4">
        <v>0.1161895</v>
      </c>
      <c r="K227" s="4">
        <v>0.37</v>
      </c>
      <c r="L227" s="3">
        <v>15</v>
      </c>
      <c r="M227" s="4">
        <f t="shared" si="34"/>
        <v>0.14999999821039445</v>
      </c>
      <c r="N227" s="4">
        <v>3.8729832999999998E-2</v>
      </c>
      <c r="O227" s="4">
        <f t="shared" si="32"/>
        <v>0.11441035117774412</v>
      </c>
      <c r="P227" s="4">
        <f t="shared" si="33"/>
        <v>0.13492384391195733</v>
      </c>
      <c r="Q227" s="4" t="s">
        <v>290</v>
      </c>
      <c r="R227" s="3" t="s">
        <v>284</v>
      </c>
      <c r="S227" s="3" t="s">
        <v>221</v>
      </c>
      <c r="T227" s="3" t="s">
        <v>8</v>
      </c>
      <c r="U227" s="3" t="s">
        <v>337</v>
      </c>
      <c r="V227" s="3" t="s">
        <v>165</v>
      </c>
      <c r="W227" s="3" t="s">
        <v>112</v>
      </c>
      <c r="X227" s="3" t="s">
        <v>98</v>
      </c>
      <c r="Y227" s="3" t="s">
        <v>363</v>
      </c>
      <c r="Z227" s="3" t="s">
        <v>363</v>
      </c>
      <c r="AA227" s="3" t="s">
        <v>363</v>
      </c>
      <c r="AB227" s="11" t="s">
        <v>397</v>
      </c>
    </row>
    <row r="228" spans="1:28">
      <c r="A228" s="3" t="s">
        <v>367</v>
      </c>
      <c r="B228" s="3" t="s">
        <v>132</v>
      </c>
      <c r="C228" s="3">
        <v>7</v>
      </c>
      <c r="D228" s="3" t="s">
        <v>35</v>
      </c>
      <c r="E228" s="3">
        <v>5.7</v>
      </c>
      <c r="F228" s="3">
        <v>2012</v>
      </c>
      <c r="G228" s="4">
        <v>184.49877000000001</v>
      </c>
      <c r="H228" s="3">
        <v>5</v>
      </c>
      <c r="I228" s="4">
        <f t="shared" ref="I228:I239" si="36" xml:space="preserve"> J228 * SQRT(H228)</f>
        <v>62.087155398214222</v>
      </c>
      <c r="J228" s="4">
        <v>27.766220000000004</v>
      </c>
      <c r="K228" s="4">
        <v>85.349630000000005</v>
      </c>
      <c r="L228" s="3">
        <v>5</v>
      </c>
      <c r="M228" s="4">
        <f t="shared" si="34"/>
        <v>23.815443240479471</v>
      </c>
      <c r="N228" s="4">
        <v>10.650589999999994</v>
      </c>
      <c r="O228" s="4">
        <f t="shared" si="32"/>
        <v>-0.77088668265144233</v>
      </c>
      <c r="P228" s="4">
        <f t="shared" si="33"/>
        <v>3.8220859183058578E-2</v>
      </c>
      <c r="Q228" s="4" t="s">
        <v>299</v>
      </c>
      <c r="R228" s="3" t="s">
        <v>177</v>
      </c>
      <c r="S228" s="3" t="s">
        <v>221</v>
      </c>
      <c r="T228" s="3" t="s">
        <v>8</v>
      </c>
      <c r="U228" s="3" t="s">
        <v>337</v>
      </c>
      <c r="V228" s="3" t="s">
        <v>332</v>
      </c>
      <c r="W228" s="3" t="s">
        <v>112</v>
      </c>
      <c r="X228" s="3" t="s">
        <v>99</v>
      </c>
      <c r="Y228" s="3" t="s">
        <v>363</v>
      </c>
      <c r="Z228" s="3" t="s">
        <v>363</v>
      </c>
      <c r="AA228" s="3">
        <v>0</v>
      </c>
      <c r="AB228" s="11" t="s">
        <v>397</v>
      </c>
    </row>
    <row r="229" spans="1:28">
      <c r="A229" s="3" t="s">
        <v>367</v>
      </c>
      <c r="B229" s="3" t="s">
        <v>132</v>
      </c>
      <c r="C229" s="3">
        <v>8</v>
      </c>
      <c r="D229" s="3" t="s">
        <v>35</v>
      </c>
      <c r="E229" s="3">
        <v>5.7</v>
      </c>
      <c r="F229" s="3">
        <v>2012</v>
      </c>
      <c r="G229" s="4">
        <v>220.29613000000001</v>
      </c>
      <c r="H229" s="3">
        <v>5</v>
      </c>
      <c r="I229" s="4">
        <f t="shared" si="36"/>
        <v>52.491181476172756</v>
      </c>
      <c r="J229" s="4">
        <v>23.474770000000007</v>
      </c>
      <c r="K229" s="4">
        <v>186.65007</v>
      </c>
      <c r="L229" s="3">
        <v>5</v>
      </c>
      <c r="M229" s="4">
        <f t="shared" si="34"/>
        <v>61.227253096786917</v>
      </c>
      <c r="N229" s="4">
        <v>27.381660000000011</v>
      </c>
      <c r="O229" s="4">
        <f t="shared" si="32"/>
        <v>-0.16573710630583563</v>
      </c>
      <c r="P229" s="4">
        <f t="shared" si="33"/>
        <v>3.2876086428872117E-2</v>
      </c>
      <c r="Q229" s="4" t="s">
        <v>299</v>
      </c>
      <c r="R229" s="3" t="s">
        <v>133</v>
      </c>
      <c r="S229" s="3" t="s">
        <v>221</v>
      </c>
      <c r="T229" s="3" t="s">
        <v>8</v>
      </c>
      <c r="U229" s="3" t="s">
        <v>337</v>
      </c>
      <c r="V229" s="3" t="s">
        <v>332</v>
      </c>
      <c r="W229" s="3" t="s">
        <v>112</v>
      </c>
      <c r="X229" s="3" t="s">
        <v>99</v>
      </c>
      <c r="Y229" s="3" t="s">
        <v>363</v>
      </c>
      <c r="Z229" s="3" t="s">
        <v>363</v>
      </c>
      <c r="AA229" s="3">
        <v>0</v>
      </c>
      <c r="AB229" s="11" t="s">
        <v>397</v>
      </c>
    </row>
    <row r="230" spans="1:28">
      <c r="A230" s="3" t="s">
        <v>367</v>
      </c>
      <c r="B230" s="3" t="s">
        <v>132</v>
      </c>
      <c r="C230" s="3">
        <v>9</v>
      </c>
      <c r="D230" s="3" t="s">
        <v>35</v>
      </c>
      <c r="E230" s="3">
        <v>5.7</v>
      </c>
      <c r="F230" s="3">
        <v>2012</v>
      </c>
      <c r="G230" s="4">
        <v>72.830219999999997</v>
      </c>
      <c r="H230" s="3">
        <v>5</v>
      </c>
      <c r="I230" s="4">
        <f t="shared" si="36"/>
        <v>22.012389826822528</v>
      </c>
      <c r="J230" s="4">
        <v>9.8442399999999992</v>
      </c>
      <c r="K230" s="4">
        <v>34.896369999999997</v>
      </c>
      <c r="L230" s="3">
        <v>5</v>
      </c>
      <c r="M230" s="4">
        <f t="shared" si="34"/>
        <v>5.0825825128570292</v>
      </c>
      <c r="N230" s="4">
        <v>2.2730000000000032</v>
      </c>
      <c r="O230" s="4">
        <f t="shared" si="32"/>
        <v>-0.73574816662097953</v>
      </c>
      <c r="P230" s="4">
        <f t="shared" si="33"/>
        <v>2.2512770506321809E-2</v>
      </c>
      <c r="Q230" s="4" t="s">
        <v>299</v>
      </c>
      <c r="R230" s="3" t="s">
        <v>177</v>
      </c>
      <c r="S230" s="3" t="s">
        <v>221</v>
      </c>
      <c r="T230" s="3" t="s">
        <v>134</v>
      </c>
      <c r="U230" s="3" t="s">
        <v>337</v>
      </c>
      <c r="V230" s="3" t="s">
        <v>332</v>
      </c>
      <c r="W230" s="3" t="s">
        <v>112</v>
      </c>
      <c r="X230" s="3" t="s">
        <v>99</v>
      </c>
      <c r="Y230" s="3" t="s">
        <v>363</v>
      </c>
      <c r="Z230" s="3" t="s">
        <v>363</v>
      </c>
      <c r="AA230" s="3">
        <v>0</v>
      </c>
      <c r="AB230" s="11" t="s">
        <v>397</v>
      </c>
    </row>
    <row r="231" spans="1:28">
      <c r="A231" s="3" t="s">
        <v>367</v>
      </c>
      <c r="B231" s="3" t="s">
        <v>132</v>
      </c>
      <c r="C231" s="3">
        <v>10</v>
      </c>
      <c r="D231" s="3" t="s">
        <v>35</v>
      </c>
      <c r="E231" s="3">
        <v>5.7</v>
      </c>
      <c r="F231" s="3">
        <v>2012</v>
      </c>
      <c r="G231" s="4">
        <v>159.38433000000001</v>
      </c>
      <c r="H231" s="3">
        <v>5</v>
      </c>
      <c r="I231" s="4">
        <f t="shared" si="36"/>
        <v>33.813887037791133</v>
      </c>
      <c r="J231" s="4">
        <v>15.122029999999995</v>
      </c>
      <c r="K231" s="4">
        <v>100.14308</v>
      </c>
      <c r="L231" s="3">
        <v>5</v>
      </c>
      <c r="M231" s="4">
        <f t="shared" si="34"/>
        <v>20.632065064311909</v>
      </c>
      <c r="N231" s="4">
        <v>9.226939999999999</v>
      </c>
      <c r="O231" s="4">
        <f t="shared" si="32"/>
        <v>-0.46471849200659615</v>
      </c>
      <c r="P231" s="4">
        <f t="shared" si="33"/>
        <v>1.7491123199733265E-2</v>
      </c>
      <c r="Q231" s="4" t="s">
        <v>299</v>
      </c>
      <c r="R231" s="3" t="s">
        <v>133</v>
      </c>
      <c r="S231" s="3" t="s">
        <v>221</v>
      </c>
      <c r="T231" s="3" t="s">
        <v>134</v>
      </c>
      <c r="U231" s="3" t="s">
        <v>337</v>
      </c>
      <c r="V231" s="3" t="s">
        <v>332</v>
      </c>
      <c r="W231" s="3" t="s">
        <v>112</v>
      </c>
      <c r="X231" s="3" t="s">
        <v>99</v>
      </c>
      <c r="Y231" s="3" t="s">
        <v>363</v>
      </c>
      <c r="Z231" s="3" t="s">
        <v>363</v>
      </c>
      <c r="AA231" s="3">
        <v>0</v>
      </c>
      <c r="AB231" s="11" t="s">
        <v>397</v>
      </c>
    </row>
    <row r="232" spans="1:28">
      <c r="A232" s="3" t="s">
        <v>368</v>
      </c>
      <c r="B232" s="3" t="s">
        <v>137</v>
      </c>
      <c r="C232" s="3">
        <v>1</v>
      </c>
      <c r="D232" s="3" t="s">
        <v>34</v>
      </c>
      <c r="E232" s="3">
        <v>2.8</v>
      </c>
      <c r="F232" s="3">
        <v>2013</v>
      </c>
      <c r="G232" s="4">
        <v>122.87636999999999</v>
      </c>
      <c r="H232" s="3">
        <v>18</v>
      </c>
      <c r="I232" s="4">
        <f t="shared" si="36"/>
        <v>62.575301464018516</v>
      </c>
      <c r="J232" s="4">
        <v>14.749139999999997</v>
      </c>
      <c r="K232" s="4">
        <v>110.9015</v>
      </c>
      <c r="L232" s="3">
        <v>18</v>
      </c>
      <c r="M232" s="4">
        <f t="shared" si="34"/>
        <v>84.626129450472945</v>
      </c>
      <c r="N232" s="4">
        <v>19.946570000000008</v>
      </c>
      <c r="O232" s="4">
        <f t="shared" si="32"/>
        <v>-0.10253630798371492</v>
      </c>
      <c r="P232" s="4">
        <f t="shared" si="33"/>
        <v>4.6756822017326845E-2</v>
      </c>
      <c r="Q232" s="4" t="s">
        <v>299</v>
      </c>
      <c r="R232" s="3" t="s">
        <v>138</v>
      </c>
      <c r="S232" s="3" t="s">
        <v>221</v>
      </c>
      <c r="T232" s="3" t="s">
        <v>8</v>
      </c>
      <c r="U232" s="3" t="s">
        <v>335</v>
      </c>
      <c r="V232" s="3" t="s">
        <v>332</v>
      </c>
      <c r="W232" s="3" t="s">
        <v>112</v>
      </c>
      <c r="X232" s="3" t="s">
        <v>98</v>
      </c>
      <c r="Y232" s="3" t="s">
        <v>363</v>
      </c>
      <c r="Z232" s="3">
        <v>2</v>
      </c>
      <c r="AA232" s="3">
        <v>2</v>
      </c>
      <c r="AB232" s="11" t="s">
        <v>397</v>
      </c>
    </row>
    <row r="233" spans="1:28">
      <c r="A233" s="3" t="s">
        <v>368</v>
      </c>
      <c r="B233" s="3" t="s">
        <v>136</v>
      </c>
      <c r="C233" s="3">
        <v>2</v>
      </c>
      <c r="D233" s="3" t="s">
        <v>34</v>
      </c>
      <c r="E233" s="3">
        <v>2.8</v>
      </c>
      <c r="F233" s="3">
        <v>2013</v>
      </c>
      <c r="G233" s="4">
        <v>122.87636999999999</v>
      </c>
      <c r="H233" s="3">
        <v>18</v>
      </c>
      <c r="I233" s="4">
        <f t="shared" si="36"/>
        <v>62.575301464018516</v>
      </c>
      <c r="J233" s="4">
        <v>14.749139999999997</v>
      </c>
      <c r="K233" s="4">
        <v>72.946439999999996</v>
      </c>
      <c r="L233" s="3">
        <v>18</v>
      </c>
      <c r="M233" s="4">
        <f t="shared" si="34"/>
        <v>56.469674824778281</v>
      </c>
      <c r="N233" s="4">
        <v>13.310029999999998</v>
      </c>
      <c r="O233" s="4">
        <f t="shared" si="32"/>
        <v>-0.52145325471770432</v>
      </c>
      <c r="P233" s="4">
        <f t="shared" si="33"/>
        <v>4.7700531090231063E-2</v>
      </c>
      <c r="Q233" s="4" t="s">
        <v>299</v>
      </c>
      <c r="R233" s="3" t="s">
        <v>138</v>
      </c>
      <c r="S233" s="3" t="s">
        <v>221</v>
      </c>
      <c r="T233" s="3" t="s">
        <v>8</v>
      </c>
      <c r="U233" s="3" t="s">
        <v>337</v>
      </c>
      <c r="V233" s="3" t="s">
        <v>332</v>
      </c>
      <c r="W233" s="3" t="s">
        <v>112</v>
      </c>
      <c r="X233" s="3" t="s">
        <v>98</v>
      </c>
      <c r="Y233" s="3" t="s">
        <v>363</v>
      </c>
      <c r="Z233" s="3">
        <v>2</v>
      </c>
      <c r="AA233" s="3">
        <v>2</v>
      </c>
      <c r="AB233" s="11" t="s">
        <v>397</v>
      </c>
    </row>
    <row r="234" spans="1:28">
      <c r="A234" s="3" t="s">
        <v>368</v>
      </c>
      <c r="B234" s="3" t="s">
        <v>136</v>
      </c>
      <c r="C234" s="3">
        <v>3</v>
      </c>
      <c r="D234" s="3" t="s">
        <v>34</v>
      </c>
      <c r="E234" s="3">
        <v>2.8</v>
      </c>
      <c r="F234" s="3">
        <v>2013</v>
      </c>
      <c r="G234" s="4">
        <v>104.10326999999999</v>
      </c>
      <c r="H234" s="3">
        <v>18</v>
      </c>
      <c r="I234" s="4">
        <f t="shared" si="36"/>
        <v>55.803240825645616</v>
      </c>
      <c r="J234" s="4">
        <v>13.152950000000004</v>
      </c>
      <c r="K234" s="4">
        <v>95.420109999999994</v>
      </c>
      <c r="L234" s="3">
        <v>18</v>
      </c>
      <c r="M234" s="4">
        <f t="shared" si="34"/>
        <v>53.794138328260267</v>
      </c>
      <c r="N234" s="4">
        <v>12.679400000000001</v>
      </c>
      <c r="O234" s="4">
        <f t="shared" si="32"/>
        <v>-8.7094034345867807E-2</v>
      </c>
      <c r="P234" s="4">
        <f t="shared" si="33"/>
        <v>3.3620140232191273E-2</v>
      </c>
      <c r="Q234" s="4" t="s">
        <v>299</v>
      </c>
      <c r="R234" s="3" t="s">
        <v>138</v>
      </c>
      <c r="S234" s="3" t="s">
        <v>221</v>
      </c>
      <c r="T234" s="3" t="s">
        <v>8</v>
      </c>
      <c r="U234" s="3" t="s">
        <v>335</v>
      </c>
      <c r="V234" s="3" t="s">
        <v>332</v>
      </c>
      <c r="W234" s="3" t="s">
        <v>112</v>
      </c>
      <c r="X234" s="3" t="s">
        <v>98</v>
      </c>
      <c r="Y234" s="3" t="s">
        <v>363</v>
      </c>
      <c r="Z234" s="3">
        <v>2</v>
      </c>
      <c r="AA234" s="3">
        <v>10</v>
      </c>
      <c r="AB234" s="11" t="s">
        <v>397</v>
      </c>
    </row>
    <row r="235" spans="1:28">
      <c r="A235" s="3" t="s">
        <v>368</v>
      </c>
      <c r="B235" s="3" t="s">
        <v>136</v>
      </c>
      <c r="C235" s="3">
        <v>4</v>
      </c>
      <c r="D235" s="3" t="s">
        <v>34</v>
      </c>
      <c r="E235" s="3">
        <v>2.8</v>
      </c>
      <c r="F235" s="3">
        <v>2013</v>
      </c>
      <c r="G235" s="4">
        <v>122.87636999999999</v>
      </c>
      <c r="H235" s="3">
        <v>18</v>
      </c>
      <c r="I235" s="4">
        <f t="shared" si="36"/>
        <v>62.575301464018516</v>
      </c>
      <c r="J235" s="4">
        <v>14.749139999999997</v>
      </c>
      <c r="K235" s="4">
        <v>76.124949999999998</v>
      </c>
      <c r="L235" s="3">
        <v>19</v>
      </c>
      <c r="M235" s="4">
        <f t="shared" si="34"/>
        <v>64.863946988029483</v>
      </c>
      <c r="N235" s="4">
        <v>14.880809999999997</v>
      </c>
      <c r="O235" s="4">
        <f t="shared" si="32"/>
        <v>-0.47880265873199718</v>
      </c>
      <c r="P235" s="4">
        <f t="shared" si="33"/>
        <v>5.2619707462974022E-2</v>
      </c>
      <c r="Q235" s="4" t="s">
        <v>299</v>
      </c>
      <c r="R235" s="3" t="s">
        <v>138</v>
      </c>
      <c r="S235" s="3" t="s">
        <v>221</v>
      </c>
      <c r="T235" s="3" t="s">
        <v>8</v>
      </c>
      <c r="U235" s="3" t="s">
        <v>337</v>
      </c>
      <c r="V235" s="3" t="s">
        <v>332</v>
      </c>
      <c r="W235" s="3" t="s">
        <v>112</v>
      </c>
      <c r="X235" s="3" t="s">
        <v>98</v>
      </c>
      <c r="Y235" s="3" t="s">
        <v>363</v>
      </c>
      <c r="Z235" s="3">
        <v>2</v>
      </c>
      <c r="AA235" s="3">
        <v>10</v>
      </c>
      <c r="AB235" s="11" t="s">
        <v>397</v>
      </c>
    </row>
    <row r="236" spans="1:28">
      <c r="A236" s="3" t="s">
        <v>368</v>
      </c>
      <c r="B236" s="3" t="s">
        <v>136</v>
      </c>
      <c r="C236" s="3">
        <v>5</v>
      </c>
      <c r="D236" s="3" t="s">
        <v>34</v>
      </c>
      <c r="E236" s="3">
        <v>2.8</v>
      </c>
      <c r="F236" s="3">
        <v>2013</v>
      </c>
      <c r="G236" s="4">
        <v>112.56005999999999</v>
      </c>
      <c r="H236" s="3">
        <v>16</v>
      </c>
      <c r="I236" s="4">
        <f t="shared" si="36"/>
        <v>56.926800000000014</v>
      </c>
      <c r="J236" s="4">
        <v>14.231700000000004</v>
      </c>
      <c r="K236" s="4">
        <v>119.75792</v>
      </c>
      <c r="L236" s="3">
        <v>15</v>
      </c>
      <c r="M236" s="4">
        <f t="shared" si="34"/>
        <v>57.409425789999887</v>
      </c>
      <c r="N236" s="4">
        <v>14.823050000000009</v>
      </c>
      <c r="O236" s="4">
        <f t="shared" si="32"/>
        <v>6.198542603604193E-2</v>
      </c>
      <c r="P236" s="4">
        <f t="shared" si="33"/>
        <v>3.1306466904875103E-2</v>
      </c>
      <c r="Q236" s="4" t="s">
        <v>299</v>
      </c>
      <c r="R236" s="3" t="s">
        <v>138</v>
      </c>
      <c r="S236" s="3" t="s">
        <v>221</v>
      </c>
      <c r="T236" s="3" t="s">
        <v>8</v>
      </c>
      <c r="U236" s="3" t="s">
        <v>335</v>
      </c>
      <c r="V236" s="3" t="s">
        <v>332</v>
      </c>
      <c r="W236" s="3" t="s">
        <v>112</v>
      </c>
      <c r="X236" s="3" t="s">
        <v>98</v>
      </c>
      <c r="Y236" s="3" t="s">
        <v>363</v>
      </c>
      <c r="Z236" s="3">
        <v>2</v>
      </c>
      <c r="AA236" s="3">
        <v>29</v>
      </c>
      <c r="AB236" s="11" t="s">
        <v>397</v>
      </c>
    </row>
    <row r="237" spans="1:28">
      <c r="A237" s="3" t="s">
        <v>368</v>
      </c>
      <c r="B237" s="3" t="s">
        <v>136</v>
      </c>
      <c r="C237" s="3">
        <v>6</v>
      </c>
      <c r="D237" s="3" t="s">
        <v>34</v>
      </c>
      <c r="E237" s="3">
        <v>2.8</v>
      </c>
      <c r="F237" s="3">
        <v>2013</v>
      </c>
      <c r="G237" s="4">
        <v>122.87636999999999</v>
      </c>
      <c r="H237" s="3">
        <v>16</v>
      </c>
      <c r="I237" s="4">
        <f t="shared" si="36"/>
        <v>58.996559999999988</v>
      </c>
      <c r="J237" s="4">
        <v>14.749139999999997</v>
      </c>
      <c r="K237" s="4">
        <v>85.789850000000001</v>
      </c>
      <c r="L237" s="3">
        <v>15</v>
      </c>
      <c r="M237" s="4">
        <f t="shared" si="34"/>
        <v>55.065496268875116</v>
      </c>
      <c r="N237" s="4">
        <v>14.217849999999999</v>
      </c>
      <c r="O237" s="4">
        <f t="shared" si="32"/>
        <v>-0.35927802681957821</v>
      </c>
      <c r="P237" s="4">
        <f t="shared" si="33"/>
        <v>4.1873805547630844E-2</v>
      </c>
      <c r="Q237" s="4" t="s">
        <v>299</v>
      </c>
      <c r="R237" s="3" t="s">
        <v>138</v>
      </c>
      <c r="S237" s="3" t="s">
        <v>221</v>
      </c>
      <c r="T237" s="3" t="s">
        <v>8</v>
      </c>
      <c r="U237" s="3" t="s">
        <v>337</v>
      </c>
      <c r="V237" s="3" t="s">
        <v>332</v>
      </c>
      <c r="W237" s="3" t="s">
        <v>112</v>
      </c>
      <c r="X237" s="3" t="s">
        <v>98</v>
      </c>
      <c r="Y237" s="3" t="s">
        <v>363</v>
      </c>
      <c r="Z237" s="3">
        <v>2</v>
      </c>
      <c r="AA237" s="3">
        <v>29</v>
      </c>
      <c r="AB237" s="11" t="s">
        <v>397</v>
      </c>
    </row>
    <row r="238" spans="1:28">
      <c r="A238" s="3" t="s">
        <v>368</v>
      </c>
      <c r="B238" s="3" t="s">
        <v>136</v>
      </c>
      <c r="C238" s="3">
        <v>7</v>
      </c>
      <c r="D238" s="3" t="s">
        <v>34</v>
      </c>
      <c r="E238" s="3">
        <v>2.8</v>
      </c>
      <c r="F238" s="3">
        <v>2013</v>
      </c>
      <c r="G238" s="4">
        <v>82.703850000000003</v>
      </c>
      <c r="H238" s="3">
        <v>10</v>
      </c>
      <c r="I238" s="4">
        <f t="shared" si="36"/>
        <v>17.684152376746809</v>
      </c>
      <c r="J238" s="4">
        <v>5.5922199999999975</v>
      </c>
      <c r="K238" s="4">
        <v>77.482770000000002</v>
      </c>
      <c r="L238" s="3">
        <v>10</v>
      </c>
      <c r="M238" s="4">
        <f t="shared" si="34"/>
        <v>13.506783587664385</v>
      </c>
      <c r="N238" s="4">
        <v>4.2712199999999996</v>
      </c>
      <c r="O238" s="4">
        <f t="shared" si="32"/>
        <v>-6.5210565693671077E-2</v>
      </c>
      <c r="P238" s="4">
        <f t="shared" si="33"/>
        <v>7.610854361060123E-3</v>
      </c>
      <c r="Q238" s="4" t="s">
        <v>299</v>
      </c>
      <c r="R238" s="3" t="s">
        <v>138</v>
      </c>
      <c r="S238" s="3" t="s">
        <v>221</v>
      </c>
      <c r="T238" s="3" t="s">
        <v>8</v>
      </c>
      <c r="U238" s="3" t="s">
        <v>335</v>
      </c>
      <c r="V238" s="3" t="s">
        <v>332</v>
      </c>
      <c r="W238" s="3" t="s">
        <v>112</v>
      </c>
      <c r="X238" s="3" t="s">
        <v>98</v>
      </c>
      <c r="Y238" s="3" t="s">
        <v>363</v>
      </c>
      <c r="Z238" s="3">
        <v>2</v>
      </c>
      <c r="AA238" s="3">
        <v>2</v>
      </c>
      <c r="AB238" s="11" t="s">
        <v>397</v>
      </c>
    </row>
    <row r="239" spans="1:28">
      <c r="A239" s="3" t="s">
        <v>368</v>
      </c>
      <c r="B239" s="3" t="s">
        <v>136</v>
      </c>
      <c r="C239" s="3">
        <v>8</v>
      </c>
      <c r="D239" s="3" t="s">
        <v>34</v>
      </c>
      <c r="E239" s="3">
        <v>2.8</v>
      </c>
      <c r="F239" s="3">
        <v>2013</v>
      </c>
      <c r="G239" s="4">
        <v>82.703850000000003</v>
      </c>
      <c r="H239" s="3">
        <v>10</v>
      </c>
      <c r="I239" s="4">
        <f t="shared" si="36"/>
        <v>17.684152376746809</v>
      </c>
      <c r="J239" s="4">
        <v>5.5922199999999975</v>
      </c>
      <c r="K239" s="4">
        <v>76.190079999999995</v>
      </c>
      <c r="L239" s="3">
        <v>10</v>
      </c>
      <c r="M239" s="4">
        <f t="shared" si="34"/>
        <v>28.982907210975227</v>
      </c>
      <c r="N239" s="4">
        <v>9.1651999999999987</v>
      </c>
      <c r="O239" s="4">
        <f t="shared" si="32"/>
        <v>-8.2034884264069297E-2</v>
      </c>
      <c r="P239" s="4">
        <f t="shared" si="33"/>
        <v>1.9042730405531481E-2</v>
      </c>
      <c r="Q239" s="4" t="s">
        <v>299</v>
      </c>
      <c r="R239" s="3" t="s">
        <v>138</v>
      </c>
      <c r="S239" s="3" t="s">
        <v>221</v>
      </c>
      <c r="T239" s="3" t="s">
        <v>8</v>
      </c>
      <c r="U239" s="3" t="s">
        <v>337</v>
      </c>
      <c r="V239" s="3" t="s">
        <v>332</v>
      </c>
      <c r="W239" s="3" t="s">
        <v>112</v>
      </c>
      <c r="X239" s="3" t="s">
        <v>98</v>
      </c>
      <c r="Y239" s="3" t="s">
        <v>363</v>
      </c>
      <c r="Z239" s="3">
        <v>2</v>
      </c>
      <c r="AA239" s="3">
        <v>2</v>
      </c>
      <c r="AB239" s="11" t="s">
        <v>397</v>
      </c>
    </row>
    <row r="240" spans="1:28">
      <c r="A240" s="3" t="s">
        <v>368</v>
      </c>
      <c r="B240" s="3" t="s">
        <v>136</v>
      </c>
      <c r="C240" s="3">
        <v>9</v>
      </c>
      <c r="D240" s="3" t="s">
        <v>34</v>
      </c>
      <c r="E240" s="3">
        <v>2.8</v>
      </c>
      <c r="F240" s="3">
        <v>2013</v>
      </c>
      <c r="G240" s="4">
        <v>77.089609999999993</v>
      </c>
      <c r="H240" s="3">
        <v>10</v>
      </c>
      <c r="I240" s="4">
        <f t="shared" ref="I240:I243" si="37" xml:space="preserve"> J240 * SQRT(H240)</f>
        <v>17.286306224321063</v>
      </c>
      <c r="J240" s="4">
        <v>5.4664100000000104</v>
      </c>
      <c r="K240" s="4">
        <v>65.729039999999998</v>
      </c>
      <c r="L240" s="3">
        <v>10</v>
      </c>
      <c r="M240" s="4">
        <f t="shared" ref="M240:M243" si="38" xml:space="preserve"> N240 * SQRT(L240)</f>
        <v>12.810576538001737</v>
      </c>
      <c r="N240" s="4">
        <v>4.0510600000000068</v>
      </c>
      <c r="O240" s="4">
        <f t="shared" si="32"/>
        <v>-0.15942767447072725</v>
      </c>
      <c r="P240" s="4">
        <f t="shared" si="33"/>
        <v>8.8267949718147456E-3</v>
      </c>
      <c r="Q240" s="4" t="s">
        <v>299</v>
      </c>
      <c r="R240" s="3" t="s">
        <v>138</v>
      </c>
      <c r="S240" s="3" t="s">
        <v>221</v>
      </c>
      <c r="T240" s="3" t="s">
        <v>8</v>
      </c>
      <c r="U240" s="3" t="s">
        <v>335</v>
      </c>
      <c r="V240" s="3" t="s">
        <v>332</v>
      </c>
      <c r="W240" s="3" t="s">
        <v>112</v>
      </c>
      <c r="X240" s="3" t="s">
        <v>98</v>
      </c>
      <c r="Y240" s="3" t="s">
        <v>363</v>
      </c>
      <c r="Z240" s="3">
        <v>2</v>
      </c>
      <c r="AA240" s="3">
        <v>10</v>
      </c>
      <c r="AB240" s="11" t="s">
        <v>397</v>
      </c>
    </row>
    <row r="241" spans="1:28">
      <c r="A241" s="3" t="s">
        <v>368</v>
      </c>
      <c r="B241" s="3" t="s">
        <v>136</v>
      </c>
      <c r="C241" s="3">
        <v>10</v>
      </c>
      <c r="D241" s="3" t="s">
        <v>34</v>
      </c>
      <c r="E241" s="3">
        <v>2.8</v>
      </c>
      <c r="F241" s="3">
        <v>2013</v>
      </c>
      <c r="G241" s="4">
        <v>77.089609999999993</v>
      </c>
      <c r="H241" s="3">
        <v>10</v>
      </c>
      <c r="I241" s="4">
        <f t="shared" si="37"/>
        <v>17.286306224321063</v>
      </c>
      <c r="J241" s="4">
        <v>5.4664100000000104</v>
      </c>
      <c r="K241" s="4">
        <v>62.725340000000003</v>
      </c>
      <c r="L241" s="3">
        <v>10</v>
      </c>
      <c r="M241" s="4">
        <f t="shared" si="38"/>
        <v>10.49313297752391</v>
      </c>
      <c r="N241" s="4">
        <v>3.3182199999999966</v>
      </c>
      <c r="O241" s="4">
        <f t="shared" si="32"/>
        <v>-0.20620299871240669</v>
      </c>
      <c r="P241" s="4">
        <f t="shared" si="33"/>
        <v>7.8266954104578047E-3</v>
      </c>
      <c r="Q241" s="4" t="s">
        <v>299</v>
      </c>
      <c r="R241" s="3" t="s">
        <v>138</v>
      </c>
      <c r="S241" s="3" t="s">
        <v>221</v>
      </c>
      <c r="T241" s="3" t="s">
        <v>8</v>
      </c>
      <c r="U241" s="3" t="s">
        <v>337</v>
      </c>
      <c r="V241" s="3" t="s">
        <v>332</v>
      </c>
      <c r="W241" s="3" t="s">
        <v>112</v>
      </c>
      <c r="X241" s="3" t="s">
        <v>98</v>
      </c>
      <c r="Y241" s="3" t="s">
        <v>363</v>
      </c>
      <c r="Z241" s="3">
        <v>2</v>
      </c>
      <c r="AA241" s="3">
        <v>10</v>
      </c>
      <c r="AB241" s="11" t="s">
        <v>397</v>
      </c>
    </row>
    <row r="242" spans="1:28">
      <c r="A242" s="3" t="s">
        <v>368</v>
      </c>
      <c r="B242" s="3" t="s">
        <v>136</v>
      </c>
      <c r="C242" s="3">
        <v>11</v>
      </c>
      <c r="D242" s="3" t="s">
        <v>34</v>
      </c>
      <c r="E242" s="3">
        <v>2.8</v>
      </c>
      <c r="F242" s="3">
        <v>2013</v>
      </c>
      <c r="G242" s="4">
        <v>77.517359999999996</v>
      </c>
      <c r="H242" s="3">
        <v>10</v>
      </c>
      <c r="I242" s="4">
        <f t="shared" si="37"/>
        <v>15.794406869806796</v>
      </c>
      <c r="J242" s="4">
        <v>4.9946300000000008</v>
      </c>
      <c r="K242" s="4">
        <v>90.771370000000005</v>
      </c>
      <c r="L242" s="3">
        <v>10</v>
      </c>
      <c r="M242" s="4">
        <f t="shared" si="38"/>
        <v>14.740103497906622</v>
      </c>
      <c r="N242" s="4">
        <v>4.6612299999999891</v>
      </c>
      <c r="O242" s="4">
        <f t="shared" si="32"/>
        <v>0.15784201624202071</v>
      </c>
      <c r="P242" s="4">
        <f t="shared" si="33"/>
        <v>6.7884933654293739E-3</v>
      </c>
      <c r="Q242" s="4" t="s">
        <v>299</v>
      </c>
      <c r="R242" s="3" t="s">
        <v>138</v>
      </c>
      <c r="S242" s="3" t="s">
        <v>221</v>
      </c>
      <c r="T242" s="3" t="s">
        <v>8</v>
      </c>
      <c r="U242" s="3" t="s">
        <v>335</v>
      </c>
      <c r="V242" s="3" t="s">
        <v>332</v>
      </c>
      <c r="W242" s="3" t="s">
        <v>112</v>
      </c>
      <c r="X242" s="3" t="s">
        <v>98</v>
      </c>
      <c r="Y242" s="3" t="s">
        <v>363</v>
      </c>
      <c r="Z242" s="3">
        <v>2</v>
      </c>
      <c r="AA242" s="3">
        <v>29</v>
      </c>
      <c r="AB242" s="11" t="s">
        <v>397</v>
      </c>
    </row>
    <row r="243" spans="1:28">
      <c r="A243" s="3" t="s">
        <v>368</v>
      </c>
      <c r="B243" s="3" t="s">
        <v>136</v>
      </c>
      <c r="C243" s="3">
        <v>12</v>
      </c>
      <c r="D243" s="3" t="s">
        <v>34</v>
      </c>
      <c r="E243" s="3">
        <v>2.8</v>
      </c>
      <c r="F243" s="3">
        <v>2013</v>
      </c>
      <c r="G243" s="4">
        <v>77.517359999999996</v>
      </c>
      <c r="H243" s="3">
        <v>10</v>
      </c>
      <c r="I243" s="4">
        <f t="shared" si="37"/>
        <v>15.794406869806796</v>
      </c>
      <c r="J243" s="4">
        <v>4.9946300000000008</v>
      </c>
      <c r="K243" s="4">
        <v>100.49642</v>
      </c>
      <c r="L243" s="3">
        <v>10</v>
      </c>
      <c r="M243" s="4">
        <f t="shared" si="38"/>
        <v>32.066222797969218</v>
      </c>
      <c r="N243" s="4">
        <v>10.140230000000003</v>
      </c>
      <c r="O243" s="4">
        <f t="shared" si="32"/>
        <v>0.25962019369906142</v>
      </c>
      <c r="P243" s="4">
        <f t="shared" si="33"/>
        <v>1.4332628503949471E-2</v>
      </c>
      <c r="Q243" s="4" t="s">
        <v>299</v>
      </c>
      <c r="R243" s="3" t="s">
        <v>138</v>
      </c>
      <c r="S243" s="3" t="s">
        <v>221</v>
      </c>
      <c r="T243" s="3" t="s">
        <v>8</v>
      </c>
      <c r="U243" s="3" t="s">
        <v>337</v>
      </c>
      <c r="V243" s="3" t="s">
        <v>332</v>
      </c>
      <c r="W243" s="3" t="s">
        <v>112</v>
      </c>
      <c r="X243" s="3" t="s">
        <v>98</v>
      </c>
      <c r="Y243" s="3" t="s">
        <v>363</v>
      </c>
      <c r="Z243" s="3">
        <v>2</v>
      </c>
      <c r="AA243" s="3">
        <v>29</v>
      </c>
      <c r="AB243" s="11" t="s">
        <v>397</v>
      </c>
    </row>
    <row r="244" spans="1:28">
      <c r="A244" s="3" t="s">
        <v>369</v>
      </c>
      <c r="B244" s="3" t="s">
        <v>141</v>
      </c>
      <c r="C244" s="3">
        <v>1</v>
      </c>
      <c r="D244" s="3" t="s">
        <v>143</v>
      </c>
      <c r="E244" s="3">
        <v>3.3</v>
      </c>
      <c r="F244" s="3">
        <v>2020</v>
      </c>
      <c r="G244" s="4">
        <v>33.642451250000001</v>
      </c>
      <c r="H244" s="3">
        <v>9</v>
      </c>
      <c r="I244" s="4">
        <v>12.438006172035131</v>
      </c>
      <c r="J244" s="4">
        <f t="shared" ref="J244:J247" si="39">I244 / SQRT(H244)</f>
        <v>4.1460020573450436</v>
      </c>
      <c r="K244" s="4">
        <v>22.74043125</v>
      </c>
      <c r="L244" s="3">
        <v>7</v>
      </c>
      <c r="M244" s="4">
        <v>9.3799702782097398</v>
      </c>
      <c r="N244" s="4">
        <f>M244 / SQRT(L244)</f>
        <v>3.5452955230457586</v>
      </c>
      <c r="O244" s="4">
        <f t="shared" si="32"/>
        <v>-0.39164424705002521</v>
      </c>
      <c r="P244" s="4">
        <f t="shared" si="33"/>
        <v>3.9493075695066306E-2</v>
      </c>
      <c r="Q244" s="4" t="s">
        <v>292</v>
      </c>
      <c r="R244" s="3" t="s">
        <v>178</v>
      </c>
      <c r="S244" s="3" t="s">
        <v>221</v>
      </c>
      <c r="T244" s="3" t="s">
        <v>134</v>
      </c>
      <c r="U244" s="3" t="s">
        <v>335</v>
      </c>
      <c r="V244" s="3" t="s">
        <v>332</v>
      </c>
      <c r="W244" s="3" t="s">
        <v>112</v>
      </c>
      <c r="X244" s="3" t="s">
        <v>98</v>
      </c>
      <c r="Y244" s="3" t="s">
        <v>363</v>
      </c>
      <c r="Z244" s="3">
        <v>4</v>
      </c>
      <c r="AA244" s="3">
        <v>75</v>
      </c>
      <c r="AB244" s="11" t="s">
        <v>397</v>
      </c>
    </row>
    <row r="245" spans="1:28">
      <c r="A245" s="3" t="s">
        <v>369</v>
      </c>
      <c r="B245" s="3" t="s">
        <v>141</v>
      </c>
      <c r="C245" s="3">
        <v>2</v>
      </c>
      <c r="D245" s="3" t="s">
        <v>142</v>
      </c>
      <c r="E245" s="3">
        <v>3.3</v>
      </c>
      <c r="F245" s="3">
        <v>2020</v>
      </c>
      <c r="G245" s="4">
        <v>33.642451250000001</v>
      </c>
      <c r="H245" s="3">
        <v>9</v>
      </c>
      <c r="I245" s="4">
        <v>12.438006172035131</v>
      </c>
      <c r="J245" s="4">
        <f t="shared" si="39"/>
        <v>4.1460020573450436</v>
      </c>
      <c r="K245" s="4">
        <v>30.45139444444445</v>
      </c>
      <c r="L245" s="3">
        <v>10</v>
      </c>
      <c r="M245" s="4">
        <v>12.763645834121117</v>
      </c>
      <c r="N245" s="4">
        <f>M245 / SQRT(L245)</f>
        <v>4.0362192083542405</v>
      </c>
      <c r="O245" s="4">
        <f t="shared" si="32"/>
        <v>-9.9656911902137574E-2</v>
      </c>
      <c r="P245" s="4">
        <f t="shared" si="33"/>
        <v>3.2755929278899823E-2</v>
      </c>
      <c r="Q245" s="4" t="s">
        <v>292</v>
      </c>
      <c r="R245" s="3" t="s">
        <v>178</v>
      </c>
      <c r="S245" s="3" t="s">
        <v>221</v>
      </c>
      <c r="T245" s="3" t="s">
        <v>134</v>
      </c>
      <c r="U245" s="3" t="s">
        <v>337</v>
      </c>
      <c r="V245" s="3" t="s">
        <v>332</v>
      </c>
      <c r="W245" s="3" t="s">
        <v>112</v>
      </c>
      <c r="X245" s="3" t="s">
        <v>98</v>
      </c>
      <c r="Y245" s="3" t="s">
        <v>363</v>
      </c>
      <c r="Z245" s="3">
        <v>4</v>
      </c>
      <c r="AA245" s="3">
        <v>75</v>
      </c>
      <c r="AB245" s="11" t="s">
        <v>397</v>
      </c>
    </row>
    <row r="246" spans="1:28">
      <c r="A246" s="3" t="s">
        <v>369</v>
      </c>
      <c r="B246" s="3" t="s">
        <v>141</v>
      </c>
      <c r="C246" s="3">
        <v>3</v>
      </c>
      <c r="D246" s="3" t="s">
        <v>142</v>
      </c>
      <c r="E246" s="3">
        <v>3.3</v>
      </c>
      <c r="F246" s="3">
        <v>2020</v>
      </c>
      <c r="G246" s="4">
        <v>33.642451250000001</v>
      </c>
      <c r="H246" s="3">
        <v>9</v>
      </c>
      <c r="I246" s="4">
        <v>12.438006172035131</v>
      </c>
      <c r="J246" s="4">
        <f t="shared" si="39"/>
        <v>4.1460020573450436</v>
      </c>
      <c r="K246" s="4">
        <v>32.705448333333329</v>
      </c>
      <c r="L246" s="3">
        <v>10</v>
      </c>
      <c r="M246" s="4">
        <v>15.936480216531404</v>
      </c>
      <c r="N246" s="4">
        <f>M246 / SQRT(L246)</f>
        <v>5.0395575370452592</v>
      </c>
      <c r="O246" s="4">
        <f t="shared" si="32"/>
        <v>-2.8247019849919956E-2</v>
      </c>
      <c r="P246" s="4">
        <f t="shared" si="33"/>
        <v>3.8930904156922637E-2</v>
      </c>
      <c r="Q246" s="4" t="s">
        <v>292</v>
      </c>
      <c r="R246" s="3" t="s">
        <v>178</v>
      </c>
      <c r="S246" s="3" t="s">
        <v>221</v>
      </c>
      <c r="T246" s="3" t="s">
        <v>134</v>
      </c>
      <c r="U246" s="3" t="s">
        <v>335</v>
      </c>
      <c r="V246" s="3" t="s">
        <v>332</v>
      </c>
      <c r="W246" s="3" t="s">
        <v>360</v>
      </c>
      <c r="X246" s="3" t="s">
        <v>167</v>
      </c>
      <c r="Y246" s="3" t="s">
        <v>363</v>
      </c>
      <c r="Z246" s="3">
        <v>0</v>
      </c>
      <c r="AA246" s="3">
        <v>75</v>
      </c>
      <c r="AB246" s="11" t="s">
        <v>397</v>
      </c>
    </row>
    <row r="247" spans="1:28">
      <c r="A247" s="3" t="s">
        <v>369</v>
      </c>
      <c r="B247" s="3" t="s">
        <v>141</v>
      </c>
      <c r="C247" s="3">
        <v>4</v>
      </c>
      <c r="D247" s="3" t="s">
        <v>142</v>
      </c>
      <c r="E247" s="3">
        <v>3.3</v>
      </c>
      <c r="F247" s="3">
        <v>2020</v>
      </c>
      <c r="G247" s="4">
        <v>33.642451250000001</v>
      </c>
      <c r="H247" s="3">
        <v>9</v>
      </c>
      <c r="I247" s="4">
        <v>12.438006172035131</v>
      </c>
      <c r="J247" s="4">
        <f t="shared" si="39"/>
        <v>4.1460020573450436</v>
      </c>
      <c r="K247" s="4">
        <v>27.409925714285716</v>
      </c>
      <c r="L247" s="3">
        <v>10</v>
      </c>
      <c r="M247" s="4">
        <v>14.558548298272338</v>
      </c>
      <c r="N247" s="4">
        <f>M247 / SQRT(L247)</f>
        <v>4.6038172048108992</v>
      </c>
      <c r="O247" s="4">
        <f t="shared" si="32"/>
        <v>-0.20488349942986192</v>
      </c>
      <c r="P247" s="4">
        <f t="shared" si="33"/>
        <v>4.3398537951898485E-2</v>
      </c>
      <c r="Q247" s="4" t="s">
        <v>292</v>
      </c>
      <c r="R247" s="3" t="s">
        <v>178</v>
      </c>
      <c r="S247" s="3" t="s">
        <v>221</v>
      </c>
      <c r="T247" s="3" t="s">
        <v>134</v>
      </c>
      <c r="U247" s="3" t="s">
        <v>337</v>
      </c>
      <c r="V247" s="3" t="s">
        <v>332</v>
      </c>
      <c r="W247" s="3" t="s">
        <v>360</v>
      </c>
      <c r="X247" s="3" t="s">
        <v>167</v>
      </c>
      <c r="Y247" s="3" t="s">
        <v>363</v>
      </c>
      <c r="Z247" s="3">
        <v>0</v>
      </c>
      <c r="AA247" s="3">
        <v>75</v>
      </c>
      <c r="AB247" s="11" t="s">
        <v>397</v>
      </c>
    </row>
    <row r="248" spans="1:28">
      <c r="A248" s="3" t="s">
        <v>370</v>
      </c>
      <c r="B248" s="3" t="s">
        <v>172</v>
      </c>
      <c r="C248" s="3">
        <v>1</v>
      </c>
      <c r="D248" s="3" t="s">
        <v>34</v>
      </c>
      <c r="E248" s="3">
        <v>2.8</v>
      </c>
      <c r="F248" s="3">
        <v>2004</v>
      </c>
      <c r="G248" s="4">
        <v>5.8</v>
      </c>
      <c r="H248" s="3">
        <v>8</v>
      </c>
      <c r="I248" s="4">
        <f t="shared" ref="I248" si="40" xml:space="preserve"> J248 * SQRT(H248)</f>
        <v>1.1313708498984762</v>
      </c>
      <c r="J248" s="4">
        <v>0.4</v>
      </c>
      <c r="K248" s="4">
        <v>7.2</v>
      </c>
      <c r="L248" s="3">
        <v>8</v>
      </c>
      <c r="M248" s="4">
        <f xml:space="preserve"> N248 * SQRT(L248)</f>
        <v>0.84852813742385702</v>
      </c>
      <c r="N248" s="4">
        <v>0.3</v>
      </c>
      <c r="O248" s="4">
        <f t="shared" si="32"/>
        <v>0.21622310846963599</v>
      </c>
      <c r="P248" s="4">
        <f t="shared" si="33"/>
        <v>6.4923536794820992E-3</v>
      </c>
      <c r="Q248" s="4" t="s">
        <v>292</v>
      </c>
      <c r="R248" s="3" t="s">
        <v>179</v>
      </c>
      <c r="S248" s="3" t="s">
        <v>221</v>
      </c>
      <c r="T248" s="3" t="s">
        <v>97</v>
      </c>
      <c r="U248" s="3" t="s">
        <v>335</v>
      </c>
      <c r="V248" s="3" t="s">
        <v>165</v>
      </c>
      <c r="W248" s="3" t="s">
        <v>112</v>
      </c>
      <c r="X248" s="3" t="s">
        <v>99</v>
      </c>
      <c r="Y248" s="3" t="s">
        <v>363</v>
      </c>
      <c r="Z248" s="3">
        <v>270</v>
      </c>
      <c r="AA248" s="3">
        <v>0</v>
      </c>
      <c r="AB248" s="11" t="s">
        <v>397</v>
      </c>
    </row>
    <row r="249" spans="1:28">
      <c r="A249" s="3" t="s">
        <v>370</v>
      </c>
      <c r="B249" s="3" t="s">
        <v>172</v>
      </c>
      <c r="C249" s="3">
        <v>2</v>
      </c>
      <c r="D249" s="3" t="s">
        <v>34</v>
      </c>
      <c r="E249" s="3">
        <v>2.8</v>
      </c>
      <c r="F249" s="3">
        <v>2004</v>
      </c>
      <c r="G249" s="4">
        <v>5.8</v>
      </c>
      <c r="H249" s="3">
        <v>8</v>
      </c>
      <c r="I249" s="4">
        <f t="shared" ref="I249:I250" si="41" xml:space="preserve"> J249 * SQRT(H249)</f>
        <v>1.1313708498984762</v>
      </c>
      <c r="J249" s="4">
        <v>0.4</v>
      </c>
      <c r="K249" s="4">
        <v>7.1</v>
      </c>
      <c r="L249" s="3">
        <v>8</v>
      </c>
      <c r="M249" s="4">
        <f xml:space="preserve"> N249 * SQRT(L249)</f>
        <v>1.1313708498984762</v>
      </c>
      <c r="N249" s="4">
        <v>0.4</v>
      </c>
      <c r="O249" s="4">
        <f t="shared" si="32"/>
        <v>0.202236866494896</v>
      </c>
      <c r="P249" s="4">
        <f t="shared" si="33"/>
        <v>7.9302159863436136E-3</v>
      </c>
      <c r="Q249" s="4" t="s">
        <v>292</v>
      </c>
      <c r="R249" s="3" t="s">
        <v>179</v>
      </c>
      <c r="S249" s="3" t="s">
        <v>221</v>
      </c>
      <c r="T249" s="3" t="s">
        <v>97</v>
      </c>
      <c r="U249" s="3" t="s">
        <v>335</v>
      </c>
      <c r="V249" s="3" t="s">
        <v>165</v>
      </c>
      <c r="W249" s="3" t="s">
        <v>112</v>
      </c>
      <c r="X249" s="3" t="s">
        <v>98</v>
      </c>
      <c r="Y249" s="3" t="s">
        <v>363</v>
      </c>
      <c r="Z249" s="3">
        <v>270</v>
      </c>
      <c r="AA249" s="3">
        <v>0</v>
      </c>
      <c r="AB249" s="11" t="s">
        <v>397</v>
      </c>
    </row>
    <row r="250" spans="1:28">
      <c r="A250" s="3" t="s">
        <v>370</v>
      </c>
      <c r="B250" s="3" t="s">
        <v>172</v>
      </c>
      <c r="C250" s="3">
        <v>3</v>
      </c>
      <c r="D250" s="3" t="s">
        <v>34</v>
      </c>
      <c r="E250" s="3">
        <v>2.8</v>
      </c>
      <c r="F250" s="3">
        <v>2004</v>
      </c>
      <c r="G250" s="4">
        <v>6</v>
      </c>
      <c r="H250" s="3">
        <v>8</v>
      </c>
      <c r="I250" s="4">
        <f t="shared" si="41"/>
        <v>1.1313708498984762</v>
      </c>
      <c r="J250" s="4">
        <v>0.4</v>
      </c>
      <c r="K250" s="4">
        <v>7.5</v>
      </c>
      <c r="L250" s="3">
        <v>8</v>
      </c>
      <c r="M250" s="4">
        <f xml:space="preserve"> N250 * SQRT(L250)</f>
        <v>1.1313708498984762</v>
      </c>
      <c r="N250" s="4">
        <v>0.4</v>
      </c>
      <c r="O250" s="4">
        <f t="shared" si="32"/>
        <v>0.22314355131420976</v>
      </c>
      <c r="P250" s="4">
        <f t="shared" si="33"/>
        <v>7.2888888888888916E-3</v>
      </c>
      <c r="Q250" s="4" t="s">
        <v>292</v>
      </c>
      <c r="R250" s="3" t="s">
        <v>179</v>
      </c>
      <c r="S250" s="3" t="s">
        <v>221</v>
      </c>
      <c r="T250" s="3" t="s">
        <v>97</v>
      </c>
      <c r="U250" s="3" t="s">
        <v>335</v>
      </c>
      <c r="V250" s="3" t="s">
        <v>165</v>
      </c>
      <c r="W250" s="3" t="s">
        <v>112</v>
      </c>
      <c r="X250" s="3" t="s">
        <v>99</v>
      </c>
      <c r="Y250" s="3" t="s">
        <v>363</v>
      </c>
      <c r="Z250" s="3">
        <v>270</v>
      </c>
      <c r="AA250" s="3">
        <v>0</v>
      </c>
      <c r="AB250" s="11" t="s">
        <v>397</v>
      </c>
    </row>
    <row r="251" spans="1:28">
      <c r="A251" s="3" t="s">
        <v>370</v>
      </c>
      <c r="B251" s="3" t="s">
        <v>172</v>
      </c>
      <c r="C251" s="3">
        <v>4</v>
      </c>
      <c r="D251" s="3" t="s">
        <v>34</v>
      </c>
      <c r="E251" s="3">
        <v>2.8</v>
      </c>
      <c r="F251" s="3">
        <v>2004</v>
      </c>
      <c r="G251" s="4">
        <v>6</v>
      </c>
      <c r="H251" s="3">
        <v>8</v>
      </c>
      <c r="I251" s="4">
        <f t="shared" ref="I251" si="42" xml:space="preserve"> J251 * SQRT(H251)</f>
        <v>1.1313708498984762</v>
      </c>
      <c r="J251" s="4">
        <v>0.4</v>
      </c>
      <c r="K251" s="4">
        <v>7.2</v>
      </c>
      <c r="L251" s="3">
        <v>8</v>
      </c>
      <c r="M251" s="4">
        <f xml:space="preserve"> N251 * SQRT(L251)</f>
        <v>1.1313708498984762</v>
      </c>
      <c r="N251" s="4">
        <v>0.4</v>
      </c>
      <c r="O251" s="4">
        <f t="shared" si="32"/>
        <v>0.18232155679395459</v>
      </c>
      <c r="P251" s="4">
        <f t="shared" si="33"/>
        <v>7.5308641975308666E-3</v>
      </c>
      <c r="Q251" s="4" t="s">
        <v>292</v>
      </c>
      <c r="R251" s="3" t="s">
        <v>179</v>
      </c>
      <c r="S251" s="3" t="s">
        <v>221</v>
      </c>
      <c r="T251" s="3" t="s">
        <v>97</v>
      </c>
      <c r="U251" s="3" t="s">
        <v>335</v>
      </c>
      <c r="V251" s="3" t="s">
        <v>165</v>
      </c>
      <c r="W251" s="3" t="s">
        <v>112</v>
      </c>
      <c r="X251" s="3" t="s">
        <v>98</v>
      </c>
      <c r="Y251" s="3" t="s">
        <v>363</v>
      </c>
      <c r="Z251" s="3">
        <v>270</v>
      </c>
      <c r="AA251" s="3">
        <v>0</v>
      </c>
      <c r="AB251" s="11" t="s">
        <v>397</v>
      </c>
    </row>
    <row r="252" spans="1:28">
      <c r="A252" s="3" t="s">
        <v>371</v>
      </c>
      <c r="B252" s="3" t="s">
        <v>182</v>
      </c>
      <c r="C252" s="3">
        <v>1</v>
      </c>
      <c r="D252" s="3" t="s">
        <v>183</v>
      </c>
      <c r="E252" s="3">
        <v>5.0999999999999996</v>
      </c>
      <c r="F252" s="3">
        <v>2024</v>
      </c>
      <c r="G252" s="4">
        <v>0.33751199999999998</v>
      </c>
      <c r="H252" s="3">
        <v>3</v>
      </c>
      <c r="I252" s="4">
        <v>2.1216812578707504E-2</v>
      </c>
      <c r="J252" s="4">
        <f t="shared" ref="J252:J291" si="43">I252 / SQRT(H252)</f>
        <v>1.2249532453662617E-2</v>
      </c>
      <c r="K252" s="4">
        <v>0.41736800000000002</v>
      </c>
      <c r="L252" s="3">
        <v>3</v>
      </c>
      <c r="M252" s="4">
        <v>0.20692740574414015</v>
      </c>
      <c r="N252" s="4">
        <f t="shared" ref="N252:N291" si="44">M252 / SQRT(L252)</f>
        <v>0.11946959340909023</v>
      </c>
      <c r="O252" s="4">
        <f t="shared" si="32"/>
        <v>0.21236726139864986</v>
      </c>
      <c r="P252" s="4">
        <f t="shared" si="33"/>
        <v>8.3253550708228624E-2</v>
      </c>
      <c r="Q252" s="4" t="s">
        <v>317</v>
      </c>
      <c r="R252" s="3" t="s">
        <v>180</v>
      </c>
      <c r="S252" s="3" t="s">
        <v>222</v>
      </c>
      <c r="T252" s="3" t="s">
        <v>97</v>
      </c>
      <c r="U252" s="3" t="s">
        <v>337</v>
      </c>
      <c r="V252" s="3" t="s">
        <v>332</v>
      </c>
      <c r="W252" s="3" t="s">
        <v>360</v>
      </c>
      <c r="X252" s="3" t="s">
        <v>148</v>
      </c>
      <c r="Y252" s="3">
        <v>50</v>
      </c>
      <c r="Z252" s="3">
        <v>0</v>
      </c>
      <c r="AA252" s="3">
        <v>12</v>
      </c>
      <c r="AB252" s="11" t="s">
        <v>397</v>
      </c>
    </row>
    <row r="253" spans="1:28">
      <c r="A253" s="3" t="s">
        <v>371</v>
      </c>
      <c r="B253" s="3" t="s">
        <v>181</v>
      </c>
      <c r="C253" s="3">
        <v>2</v>
      </c>
      <c r="D253" s="3" t="s">
        <v>183</v>
      </c>
      <c r="E253" s="3">
        <v>5.0999999999999996</v>
      </c>
      <c r="F253" s="3">
        <v>2024</v>
      </c>
      <c r="G253" s="4">
        <v>0.40928799999999993</v>
      </c>
      <c r="H253" s="3">
        <v>3</v>
      </c>
      <c r="I253" s="4">
        <v>0.18281534845849254</v>
      </c>
      <c r="J253" s="4">
        <f t="shared" si="43"/>
        <v>0.1055484906445059</v>
      </c>
      <c r="K253" s="4">
        <v>1.3951213333333332</v>
      </c>
      <c r="L253" s="3">
        <v>3</v>
      </c>
      <c r="M253" s="4">
        <v>1.3564251999861006</v>
      </c>
      <c r="N253" s="4">
        <f t="shared" si="44"/>
        <v>0.78313245434756718</v>
      </c>
      <c r="O253" s="4">
        <f t="shared" si="32"/>
        <v>1.2263176030528742</v>
      </c>
      <c r="P253" s="4">
        <f t="shared" si="33"/>
        <v>0.38160234241746877</v>
      </c>
      <c r="Q253" s="4" t="s">
        <v>317</v>
      </c>
      <c r="R253" s="3" t="s">
        <v>180</v>
      </c>
      <c r="S253" s="3" t="s">
        <v>222</v>
      </c>
      <c r="T253" s="3" t="s">
        <v>97</v>
      </c>
      <c r="U253" s="3" t="s">
        <v>337</v>
      </c>
      <c r="V253" s="3" t="s">
        <v>332</v>
      </c>
      <c r="W253" s="3" t="s">
        <v>360</v>
      </c>
      <c r="X253" s="3" t="s">
        <v>148</v>
      </c>
      <c r="Y253" s="3">
        <v>50</v>
      </c>
      <c r="Z253" s="3">
        <v>0</v>
      </c>
      <c r="AA253" s="3">
        <v>12</v>
      </c>
      <c r="AB253" s="11" t="s">
        <v>397</v>
      </c>
    </row>
    <row r="254" spans="1:28">
      <c r="A254" s="3" t="s">
        <v>371</v>
      </c>
      <c r="B254" s="3" t="s">
        <v>181</v>
      </c>
      <c r="C254" s="3">
        <v>3</v>
      </c>
      <c r="D254" s="3" t="s">
        <v>183</v>
      </c>
      <c r="E254" s="3">
        <v>5.0999999999999996</v>
      </c>
      <c r="F254" s="3">
        <v>2024</v>
      </c>
      <c r="G254" s="4">
        <v>0.2879106666666667</v>
      </c>
      <c r="H254" s="3">
        <v>3</v>
      </c>
      <c r="I254" s="4">
        <v>9.6241847557771543E-2</v>
      </c>
      <c r="J254" s="4">
        <f t="shared" si="43"/>
        <v>5.5565256594786332E-2</v>
      </c>
      <c r="K254" s="4">
        <v>0.3297626666666667</v>
      </c>
      <c r="L254" s="3">
        <v>3</v>
      </c>
      <c r="M254" s="4">
        <v>0.22743372887356289</v>
      </c>
      <c r="N254" s="4">
        <f t="shared" si="44"/>
        <v>0.1313089245879519</v>
      </c>
      <c r="O254" s="4">
        <f t="shared" si="32"/>
        <v>0.13572295696537545</v>
      </c>
      <c r="P254" s="4">
        <f t="shared" si="33"/>
        <v>0.19580402128116187</v>
      </c>
      <c r="Q254" s="4" t="s">
        <v>317</v>
      </c>
      <c r="R254" s="3" t="s">
        <v>180</v>
      </c>
      <c r="S254" s="3" t="s">
        <v>222</v>
      </c>
      <c r="T254" s="3" t="s">
        <v>97</v>
      </c>
      <c r="U254" s="3" t="s">
        <v>337</v>
      </c>
      <c r="V254" s="3" t="s">
        <v>332</v>
      </c>
      <c r="W254" s="3" t="s">
        <v>360</v>
      </c>
      <c r="X254" s="3" t="s">
        <v>148</v>
      </c>
      <c r="Y254" s="3">
        <v>50</v>
      </c>
      <c r="Z254" s="3">
        <v>0</v>
      </c>
      <c r="AA254" s="3">
        <v>12</v>
      </c>
      <c r="AB254" s="11" t="s">
        <v>397</v>
      </c>
    </row>
    <row r="255" spans="1:28">
      <c r="A255" s="3" t="s">
        <v>371</v>
      </c>
      <c r="B255" s="3" t="s">
        <v>181</v>
      </c>
      <c r="C255" s="3">
        <v>4</v>
      </c>
      <c r="D255" s="3" t="s">
        <v>183</v>
      </c>
      <c r="E255" s="3">
        <v>5.0999999999999996</v>
      </c>
      <c r="F255" s="3">
        <v>2024</v>
      </c>
      <c r="G255" s="4">
        <v>0.49263866666666667</v>
      </c>
      <c r="H255" s="3">
        <v>3</v>
      </c>
      <c r="I255" s="4">
        <v>0.2207051875179496</v>
      </c>
      <c r="J255" s="4">
        <f t="shared" si="43"/>
        <v>0.12742419942503505</v>
      </c>
      <c r="K255" s="4">
        <v>0.33855866666666667</v>
      </c>
      <c r="L255" s="3">
        <v>3</v>
      </c>
      <c r="M255" s="4">
        <v>7.6421305127126027E-2</v>
      </c>
      <c r="N255" s="4">
        <f t="shared" si="44"/>
        <v>4.4121861086968743E-2</v>
      </c>
      <c r="O255" s="4">
        <f t="shared" si="32"/>
        <v>-0.37507858669222827</v>
      </c>
      <c r="P255" s="4">
        <f t="shared" si="33"/>
        <v>8.3887183362597789E-2</v>
      </c>
      <c r="Q255" s="4" t="s">
        <v>317</v>
      </c>
      <c r="R255" s="3" t="s">
        <v>180</v>
      </c>
      <c r="S255" s="3" t="s">
        <v>222</v>
      </c>
      <c r="T255" s="3" t="s">
        <v>97</v>
      </c>
      <c r="U255" s="3" t="s">
        <v>337</v>
      </c>
      <c r="V255" s="3" t="s">
        <v>332</v>
      </c>
      <c r="W255" s="3" t="s">
        <v>360</v>
      </c>
      <c r="X255" s="3" t="s">
        <v>148</v>
      </c>
      <c r="Y255" s="3">
        <v>50</v>
      </c>
      <c r="Z255" s="3">
        <v>0</v>
      </c>
      <c r="AA255" s="3">
        <v>12</v>
      </c>
      <c r="AB255" s="11" t="s">
        <v>397</v>
      </c>
    </row>
    <row r="256" spans="1:28">
      <c r="A256" s="3" t="s">
        <v>371</v>
      </c>
      <c r="B256" s="3" t="s">
        <v>181</v>
      </c>
      <c r="C256" s="3">
        <v>5</v>
      </c>
      <c r="D256" s="3" t="s">
        <v>183</v>
      </c>
      <c r="E256" s="3">
        <v>5.0999999999999996</v>
      </c>
      <c r="F256" s="3">
        <v>2024</v>
      </c>
      <c r="G256" s="4">
        <v>0.52315066666666665</v>
      </c>
      <c r="H256" s="3">
        <v>3</v>
      </c>
      <c r="I256" s="4">
        <v>0.39013018976404962</v>
      </c>
      <c r="J256" s="4">
        <f t="shared" si="43"/>
        <v>0.22524177007927385</v>
      </c>
      <c r="K256" s="4">
        <v>0.39767866666666668</v>
      </c>
      <c r="L256" s="3">
        <v>3</v>
      </c>
      <c r="M256" s="4">
        <v>0.14989356727135866</v>
      </c>
      <c r="N256" s="4">
        <f t="shared" si="44"/>
        <v>8.6541091413912211E-2</v>
      </c>
      <c r="O256" s="4">
        <f t="shared" ref="O256:O319" si="45">LN(K256/G256)</f>
        <v>-0.27422519515667421</v>
      </c>
      <c r="P256" s="4">
        <f t="shared" si="33"/>
        <v>0.23272862895430274</v>
      </c>
      <c r="Q256" s="4" t="s">
        <v>317</v>
      </c>
      <c r="R256" s="3" t="s">
        <v>184</v>
      </c>
      <c r="S256" s="3" t="s">
        <v>222</v>
      </c>
      <c r="T256" s="3" t="s">
        <v>97</v>
      </c>
      <c r="U256" s="3" t="s">
        <v>337</v>
      </c>
      <c r="V256" s="3" t="s">
        <v>332</v>
      </c>
      <c r="W256" s="3" t="s">
        <v>360</v>
      </c>
      <c r="X256" s="3" t="s">
        <v>148</v>
      </c>
      <c r="Y256" s="3">
        <v>50</v>
      </c>
      <c r="Z256" s="3">
        <v>0</v>
      </c>
      <c r="AA256" s="3">
        <v>12</v>
      </c>
      <c r="AB256" s="11" t="s">
        <v>397</v>
      </c>
    </row>
    <row r="257" spans="1:28">
      <c r="A257" s="3" t="s">
        <v>371</v>
      </c>
      <c r="B257" s="3" t="s">
        <v>181</v>
      </c>
      <c r="C257" s="3">
        <v>6</v>
      </c>
      <c r="D257" s="3" t="s">
        <v>183</v>
      </c>
      <c r="E257" s="3">
        <v>5.0999999999999996</v>
      </c>
      <c r="F257" s="3">
        <v>2024</v>
      </c>
      <c r="G257" s="4">
        <v>0.49893999999999999</v>
      </c>
      <c r="H257" s="3">
        <v>3</v>
      </c>
      <c r="I257" s="4">
        <v>0.20379547987136495</v>
      </c>
      <c r="J257" s="4">
        <f t="shared" si="43"/>
        <v>0.11766137516336152</v>
      </c>
      <c r="K257" s="4">
        <v>0.43217599999999995</v>
      </c>
      <c r="L257" s="3">
        <v>3</v>
      </c>
      <c r="M257" s="4">
        <v>0.14631362769065653</v>
      </c>
      <c r="N257" s="4">
        <f t="shared" si="44"/>
        <v>8.4474212333311233E-2</v>
      </c>
      <c r="O257" s="4">
        <f t="shared" si="45"/>
        <v>-0.14365293535743709</v>
      </c>
      <c r="P257" s="4">
        <f t="shared" si="33"/>
        <v>9.3817942008420988E-2</v>
      </c>
      <c r="Q257" s="4" t="s">
        <v>317</v>
      </c>
      <c r="R257" s="3" t="s">
        <v>184</v>
      </c>
      <c r="S257" s="3" t="s">
        <v>222</v>
      </c>
      <c r="T257" s="3" t="s">
        <v>97</v>
      </c>
      <c r="U257" s="3" t="s">
        <v>337</v>
      </c>
      <c r="V257" s="3" t="s">
        <v>332</v>
      </c>
      <c r="W257" s="3" t="s">
        <v>360</v>
      </c>
      <c r="X257" s="3" t="s">
        <v>148</v>
      </c>
      <c r="Y257" s="3">
        <v>50</v>
      </c>
      <c r="Z257" s="3">
        <v>0</v>
      </c>
      <c r="AA257" s="3">
        <v>12</v>
      </c>
      <c r="AB257" s="11" t="s">
        <v>397</v>
      </c>
    </row>
    <row r="258" spans="1:28">
      <c r="A258" s="3" t="s">
        <v>371</v>
      </c>
      <c r="B258" s="3" t="s">
        <v>181</v>
      </c>
      <c r="C258" s="3">
        <v>7</v>
      </c>
      <c r="D258" s="3" t="s">
        <v>183</v>
      </c>
      <c r="E258" s="3">
        <v>5.0999999999999996</v>
      </c>
      <c r="F258" s="3">
        <v>2024</v>
      </c>
      <c r="G258" s="4">
        <v>0.46774133333333334</v>
      </c>
      <c r="H258" s="3">
        <v>3</v>
      </c>
      <c r="I258" s="4">
        <v>0.11169939783782762</v>
      </c>
      <c r="J258" s="4">
        <f t="shared" si="43"/>
        <v>6.4489677409988885E-2</v>
      </c>
      <c r="K258" s="4">
        <v>0.23460666666666666</v>
      </c>
      <c r="L258" s="3">
        <v>3</v>
      </c>
      <c r="M258" s="4">
        <v>6.4854498605211072E-2</v>
      </c>
      <c r="N258" s="4">
        <f t="shared" si="44"/>
        <v>3.744376222787682E-2</v>
      </c>
      <c r="O258" s="4">
        <f t="shared" si="45"/>
        <v>-0.69000508358678692</v>
      </c>
      <c r="P258" s="4">
        <f t="shared" ref="P258:P321" si="46">(M258^2)/(L258*(K258^2)) + (I258^2)/(H258*(G258^2))</f>
        <v>4.448231423893903E-2</v>
      </c>
      <c r="Q258" s="4" t="s">
        <v>317</v>
      </c>
      <c r="R258" s="3" t="s">
        <v>184</v>
      </c>
      <c r="S258" s="3" t="s">
        <v>222</v>
      </c>
      <c r="T258" s="3" t="s">
        <v>97</v>
      </c>
      <c r="U258" s="3" t="s">
        <v>337</v>
      </c>
      <c r="V258" s="3" t="s">
        <v>332</v>
      </c>
      <c r="W258" s="3" t="s">
        <v>360</v>
      </c>
      <c r="X258" s="3" t="s">
        <v>148</v>
      </c>
      <c r="Y258" s="3">
        <v>50</v>
      </c>
      <c r="Z258" s="3">
        <v>0</v>
      </c>
      <c r="AA258" s="3">
        <v>12</v>
      </c>
      <c r="AB258" s="11" t="s">
        <v>397</v>
      </c>
    </row>
    <row r="259" spans="1:28">
      <c r="A259" s="3" t="s">
        <v>371</v>
      </c>
      <c r="B259" s="3" t="s">
        <v>181</v>
      </c>
      <c r="C259" s="3">
        <v>8</v>
      </c>
      <c r="D259" s="3" t="s">
        <v>183</v>
      </c>
      <c r="E259" s="3">
        <v>5.0999999999999996</v>
      </c>
      <c r="F259" s="3">
        <v>2024</v>
      </c>
      <c r="G259" s="4">
        <v>0.37098000000000003</v>
      </c>
      <c r="H259" s="3">
        <v>3</v>
      </c>
      <c r="I259" s="4">
        <v>8.0186842611490963E-2</v>
      </c>
      <c r="J259" s="4">
        <f t="shared" si="43"/>
        <v>4.6295895167210464E-2</v>
      </c>
      <c r="K259" s="4">
        <v>0.22487333333333334</v>
      </c>
      <c r="L259" s="3">
        <v>3</v>
      </c>
      <c r="M259" s="4">
        <v>4.3112147027645861E-2</v>
      </c>
      <c r="N259" s="4">
        <f t="shared" si="44"/>
        <v>2.4890809691754064E-2</v>
      </c>
      <c r="O259" s="4">
        <f t="shared" si="45"/>
        <v>-0.50061087208022192</v>
      </c>
      <c r="P259" s="4">
        <f t="shared" si="46"/>
        <v>2.7825282395755265E-2</v>
      </c>
      <c r="Q259" s="4" t="s">
        <v>317</v>
      </c>
      <c r="R259" s="3" t="s">
        <v>184</v>
      </c>
      <c r="S259" s="3" t="s">
        <v>222</v>
      </c>
      <c r="T259" s="3" t="s">
        <v>97</v>
      </c>
      <c r="U259" s="3" t="s">
        <v>337</v>
      </c>
      <c r="V259" s="3" t="s">
        <v>332</v>
      </c>
      <c r="W259" s="3" t="s">
        <v>360</v>
      </c>
      <c r="X259" s="3" t="s">
        <v>148</v>
      </c>
      <c r="Y259" s="3">
        <v>50</v>
      </c>
      <c r="Z259" s="3">
        <v>0</v>
      </c>
      <c r="AA259" s="3">
        <v>12</v>
      </c>
      <c r="AB259" s="11" t="s">
        <v>397</v>
      </c>
    </row>
    <row r="260" spans="1:28">
      <c r="A260" s="3" t="s">
        <v>371</v>
      </c>
      <c r="B260" s="3" t="s">
        <v>181</v>
      </c>
      <c r="C260" s="3">
        <v>9</v>
      </c>
      <c r="D260" s="3" t="s">
        <v>183</v>
      </c>
      <c r="E260" s="3">
        <v>5.0999999999999996</v>
      </c>
      <c r="F260" s="3">
        <v>2024</v>
      </c>
      <c r="G260" s="4">
        <v>1.0752079999999999</v>
      </c>
      <c r="H260" s="3">
        <v>3</v>
      </c>
      <c r="I260" s="4">
        <v>0.11930991361995028</v>
      </c>
      <c r="J260" s="4">
        <f t="shared" si="43"/>
        <v>6.8883610745469295E-2</v>
      </c>
      <c r="K260" s="4">
        <v>1.3066359999999999</v>
      </c>
      <c r="L260" s="3">
        <v>3</v>
      </c>
      <c r="M260" s="4">
        <v>0.81490203073498391</v>
      </c>
      <c r="N260" s="4">
        <f t="shared" si="44"/>
        <v>0.47048390680801566</v>
      </c>
      <c r="O260" s="4">
        <f t="shared" si="45"/>
        <v>0.19494176423583764</v>
      </c>
      <c r="P260" s="4">
        <f t="shared" si="46"/>
        <v>0.13375669724775849</v>
      </c>
      <c r="Q260" s="3" t="s">
        <v>318</v>
      </c>
      <c r="R260" s="3" t="s">
        <v>185</v>
      </c>
      <c r="S260" s="3" t="s">
        <v>222</v>
      </c>
      <c r="T260" s="3" t="s">
        <v>97</v>
      </c>
      <c r="U260" s="3" t="s">
        <v>337</v>
      </c>
      <c r="V260" s="3" t="s">
        <v>332</v>
      </c>
      <c r="W260" s="3" t="s">
        <v>360</v>
      </c>
      <c r="X260" s="3" t="s">
        <v>148</v>
      </c>
      <c r="Y260" s="3">
        <v>50</v>
      </c>
      <c r="Z260" s="3">
        <v>0</v>
      </c>
      <c r="AA260" s="3">
        <v>12</v>
      </c>
      <c r="AB260" s="11" t="s">
        <v>397</v>
      </c>
    </row>
    <row r="261" spans="1:28">
      <c r="A261" s="3" t="s">
        <v>371</v>
      </c>
      <c r="B261" s="3" t="s">
        <v>181</v>
      </c>
      <c r="C261" s="3">
        <v>10</v>
      </c>
      <c r="D261" s="3" t="s">
        <v>183</v>
      </c>
      <c r="E261" s="3">
        <v>5.0999999999999996</v>
      </c>
      <c r="F261" s="3">
        <v>2024</v>
      </c>
      <c r="G261" s="4">
        <v>0.78719466666666671</v>
      </c>
      <c r="H261" s="3">
        <v>3</v>
      </c>
      <c r="I261" s="4">
        <v>0.45704597344833198</v>
      </c>
      <c r="J261" s="4">
        <f t="shared" si="43"/>
        <v>0.26387561580242902</v>
      </c>
      <c r="K261" s="4">
        <v>0.71441999999999994</v>
      </c>
      <c r="L261" s="3">
        <v>3</v>
      </c>
      <c r="M261" s="4">
        <v>0.36411224407866338</v>
      </c>
      <c r="N261" s="4">
        <f t="shared" si="44"/>
        <v>0.21022030213405504</v>
      </c>
      <c r="O261" s="4">
        <f t="shared" si="45"/>
        <v>-9.7004545956203572E-2</v>
      </c>
      <c r="P261" s="4">
        <f t="shared" si="46"/>
        <v>0.19895071096555028</v>
      </c>
      <c r="Q261" s="3" t="s">
        <v>318</v>
      </c>
      <c r="R261" s="3" t="s">
        <v>185</v>
      </c>
      <c r="S261" s="3" t="s">
        <v>222</v>
      </c>
      <c r="T261" s="3" t="s">
        <v>97</v>
      </c>
      <c r="U261" s="3" t="s">
        <v>337</v>
      </c>
      <c r="V261" s="3" t="s">
        <v>332</v>
      </c>
      <c r="W261" s="3" t="s">
        <v>360</v>
      </c>
      <c r="X261" s="3" t="s">
        <v>148</v>
      </c>
      <c r="Y261" s="3">
        <v>50</v>
      </c>
      <c r="Z261" s="3">
        <v>0</v>
      </c>
      <c r="AA261" s="3">
        <v>12</v>
      </c>
      <c r="AB261" s="11" t="s">
        <v>397</v>
      </c>
    </row>
    <row r="262" spans="1:28">
      <c r="A262" s="3" t="s">
        <v>371</v>
      </c>
      <c r="B262" s="3" t="s">
        <v>181</v>
      </c>
      <c r="C262" s="3">
        <v>11</v>
      </c>
      <c r="D262" s="3" t="s">
        <v>183</v>
      </c>
      <c r="E262" s="3">
        <v>5.0999999999999996</v>
      </c>
      <c r="F262" s="3">
        <v>2024</v>
      </c>
      <c r="G262" s="4">
        <v>0.90020933333333331</v>
      </c>
      <c r="H262" s="3">
        <v>3</v>
      </c>
      <c r="I262" s="4">
        <v>0.12833702333049876</v>
      </c>
      <c r="J262" s="4">
        <f t="shared" si="43"/>
        <v>7.4095414966858744E-2</v>
      </c>
      <c r="K262" s="4">
        <v>1.274896</v>
      </c>
      <c r="L262" s="3">
        <v>3</v>
      </c>
      <c r="M262" s="4">
        <v>0.34283576203190896</v>
      </c>
      <c r="N262" s="4">
        <f t="shared" si="44"/>
        <v>0.19793631949695314</v>
      </c>
      <c r="O262" s="4">
        <f t="shared" si="45"/>
        <v>0.3479925567667343</v>
      </c>
      <c r="P262" s="4">
        <f t="shared" si="46"/>
        <v>3.087947221514134E-2</v>
      </c>
      <c r="Q262" s="3" t="s">
        <v>318</v>
      </c>
      <c r="R262" s="3" t="s">
        <v>185</v>
      </c>
      <c r="S262" s="3" t="s">
        <v>222</v>
      </c>
      <c r="T262" s="3" t="s">
        <v>97</v>
      </c>
      <c r="U262" s="3" t="s">
        <v>337</v>
      </c>
      <c r="V262" s="3" t="s">
        <v>332</v>
      </c>
      <c r="W262" s="3" t="s">
        <v>360</v>
      </c>
      <c r="X262" s="3" t="s">
        <v>148</v>
      </c>
      <c r="Y262" s="3">
        <v>50</v>
      </c>
      <c r="Z262" s="3">
        <v>0</v>
      </c>
      <c r="AA262" s="3">
        <v>12</v>
      </c>
      <c r="AB262" s="11" t="s">
        <v>397</v>
      </c>
    </row>
    <row r="263" spans="1:28">
      <c r="A263" s="3" t="s">
        <v>371</v>
      </c>
      <c r="B263" s="3" t="s">
        <v>181</v>
      </c>
      <c r="C263" s="3">
        <v>12</v>
      </c>
      <c r="D263" s="3" t="s">
        <v>183</v>
      </c>
      <c r="E263" s="3">
        <v>5.0999999999999996</v>
      </c>
      <c r="F263" s="3">
        <v>2024</v>
      </c>
      <c r="G263" s="4">
        <v>0.99207466666666677</v>
      </c>
      <c r="H263" s="3">
        <v>3</v>
      </c>
      <c r="I263" s="4">
        <v>0.62082416660865702</v>
      </c>
      <c r="J263" s="4">
        <f t="shared" si="43"/>
        <v>0.35843299971093323</v>
      </c>
      <c r="K263" s="4">
        <v>1.1057533333333331</v>
      </c>
      <c r="L263" s="3">
        <v>3</v>
      </c>
      <c r="M263" s="4">
        <v>9.9688679584661627E-2</v>
      </c>
      <c r="N263" s="4">
        <f t="shared" si="44"/>
        <v>5.7555285993362744E-2</v>
      </c>
      <c r="O263" s="4">
        <f t="shared" si="45"/>
        <v>0.10848375801955089</v>
      </c>
      <c r="P263" s="4">
        <f t="shared" si="46"/>
        <v>0.13324436453382232</v>
      </c>
      <c r="Q263" s="3" t="s">
        <v>318</v>
      </c>
      <c r="R263" s="3" t="s">
        <v>185</v>
      </c>
      <c r="S263" s="3" t="s">
        <v>222</v>
      </c>
      <c r="T263" s="3" t="s">
        <v>97</v>
      </c>
      <c r="U263" s="3" t="s">
        <v>337</v>
      </c>
      <c r="V263" s="3" t="s">
        <v>332</v>
      </c>
      <c r="W263" s="3" t="s">
        <v>360</v>
      </c>
      <c r="X263" s="3" t="s">
        <v>148</v>
      </c>
      <c r="Y263" s="3">
        <v>50</v>
      </c>
      <c r="Z263" s="3">
        <v>0</v>
      </c>
      <c r="AA263" s="3">
        <v>12</v>
      </c>
      <c r="AB263" s="11" t="s">
        <v>397</v>
      </c>
    </row>
    <row r="264" spans="1:28">
      <c r="A264" s="3" t="s">
        <v>371</v>
      </c>
      <c r="B264" s="3" t="s">
        <v>181</v>
      </c>
      <c r="C264" s="3">
        <v>13</v>
      </c>
      <c r="D264" s="3" t="s">
        <v>183</v>
      </c>
      <c r="E264" s="3">
        <v>5.0999999999999996</v>
      </c>
      <c r="F264" s="3">
        <v>2024</v>
      </c>
      <c r="G264" s="4">
        <v>1.1001226666666668</v>
      </c>
      <c r="H264" s="3">
        <v>3</v>
      </c>
      <c r="I264" s="4">
        <v>0.67278286520788644</v>
      </c>
      <c r="J264" s="4">
        <f t="shared" si="43"/>
        <v>0.38843136833394099</v>
      </c>
      <c r="K264" s="4">
        <v>0.93064933333333333</v>
      </c>
      <c r="L264" s="3">
        <v>3</v>
      </c>
      <c r="M264" s="4">
        <v>0.47285577211379531</v>
      </c>
      <c r="N264" s="4">
        <f t="shared" si="44"/>
        <v>0.27300340731776807</v>
      </c>
      <c r="O264" s="4">
        <f t="shared" si="45"/>
        <v>-0.1672944173217461</v>
      </c>
      <c r="P264" s="4">
        <f t="shared" si="46"/>
        <v>0.21071812252643762</v>
      </c>
      <c r="Q264" s="3" t="s">
        <v>318</v>
      </c>
      <c r="R264" s="3" t="s">
        <v>186</v>
      </c>
      <c r="S264" s="3" t="s">
        <v>222</v>
      </c>
      <c r="T264" s="3" t="s">
        <v>97</v>
      </c>
      <c r="U264" s="3" t="s">
        <v>337</v>
      </c>
      <c r="V264" s="3" t="s">
        <v>332</v>
      </c>
      <c r="W264" s="3" t="s">
        <v>360</v>
      </c>
      <c r="X264" s="3" t="s">
        <v>148</v>
      </c>
      <c r="Y264" s="3">
        <v>50</v>
      </c>
      <c r="Z264" s="3">
        <v>0</v>
      </c>
      <c r="AA264" s="3">
        <v>12</v>
      </c>
      <c r="AB264" s="11" t="s">
        <v>397</v>
      </c>
    </row>
    <row r="265" spans="1:28">
      <c r="A265" s="3" t="s">
        <v>371</v>
      </c>
      <c r="B265" s="3" t="s">
        <v>181</v>
      </c>
      <c r="C265" s="3">
        <v>14</v>
      </c>
      <c r="D265" s="3" t="s">
        <v>183</v>
      </c>
      <c r="E265" s="3">
        <v>5.0999999999999996</v>
      </c>
      <c r="F265" s="3">
        <v>2024</v>
      </c>
      <c r="G265" s="4">
        <v>1.1961119999999998</v>
      </c>
      <c r="H265" s="3">
        <v>5</v>
      </c>
      <c r="I265" s="4">
        <v>0.23691687904410894</v>
      </c>
      <c r="J265" s="4">
        <f t="shared" si="43"/>
        <v>0.10595244931194459</v>
      </c>
      <c r="K265" s="4">
        <v>1.4598420000000001</v>
      </c>
      <c r="L265" s="3">
        <v>2</v>
      </c>
      <c r="M265" s="4">
        <v>0.44063783333708351</v>
      </c>
      <c r="N265" s="4">
        <f t="shared" si="44"/>
        <v>0.31157799999999947</v>
      </c>
      <c r="O265" s="4">
        <f t="shared" si="45"/>
        <v>0.19925191405712017</v>
      </c>
      <c r="P265" s="4">
        <f t="shared" si="46"/>
        <v>5.3400053741023065E-2</v>
      </c>
      <c r="Q265" s="3" t="s">
        <v>318</v>
      </c>
      <c r="R265" s="3" t="s">
        <v>186</v>
      </c>
      <c r="S265" s="3" t="s">
        <v>222</v>
      </c>
      <c r="T265" s="3" t="s">
        <v>97</v>
      </c>
      <c r="U265" s="3" t="s">
        <v>338</v>
      </c>
      <c r="V265" s="3" t="s">
        <v>332</v>
      </c>
      <c r="W265" s="3" t="s">
        <v>360</v>
      </c>
      <c r="X265" s="3" t="s">
        <v>148</v>
      </c>
      <c r="Y265" s="3">
        <v>50</v>
      </c>
      <c r="Z265" s="3">
        <v>0</v>
      </c>
      <c r="AA265" s="3">
        <v>12</v>
      </c>
      <c r="AB265" s="11" t="s">
        <v>397</v>
      </c>
    </row>
    <row r="266" spans="1:28">
      <c r="A266" s="3" t="s">
        <v>371</v>
      </c>
      <c r="B266" s="3" t="s">
        <v>181</v>
      </c>
      <c r="C266" s="3">
        <v>15</v>
      </c>
      <c r="D266" s="3" t="s">
        <v>183</v>
      </c>
      <c r="E266" s="3">
        <v>5.0999999999999996</v>
      </c>
      <c r="F266" s="3">
        <v>2024</v>
      </c>
      <c r="G266" s="4">
        <v>0.8064986666666667</v>
      </c>
      <c r="H266" s="3">
        <v>3</v>
      </c>
      <c r="I266" s="4">
        <v>0.10786299942674188</v>
      </c>
      <c r="J266" s="4">
        <f t="shared" si="43"/>
        <v>6.2274731754629879E-2</v>
      </c>
      <c r="K266" s="4">
        <v>0.63214533333333334</v>
      </c>
      <c r="L266" s="3">
        <v>3</v>
      </c>
      <c r="M266" s="4">
        <v>0.45751873247478442</v>
      </c>
      <c r="N266" s="4">
        <f t="shared" si="44"/>
        <v>0.2641485633536132</v>
      </c>
      <c r="O266" s="4">
        <f t="shared" si="45"/>
        <v>-0.24358291881323665</v>
      </c>
      <c r="P266" s="4">
        <f t="shared" si="46"/>
        <v>0.18056973089005238</v>
      </c>
      <c r="Q266" s="3" t="s">
        <v>318</v>
      </c>
      <c r="R266" s="3" t="s">
        <v>186</v>
      </c>
      <c r="S266" s="3" t="s">
        <v>222</v>
      </c>
      <c r="T266" s="3" t="s">
        <v>97</v>
      </c>
      <c r="U266" s="3" t="s">
        <v>337</v>
      </c>
      <c r="V266" s="3" t="s">
        <v>332</v>
      </c>
      <c r="W266" s="3" t="s">
        <v>360</v>
      </c>
      <c r="X266" s="3" t="s">
        <v>148</v>
      </c>
      <c r="Y266" s="3">
        <v>50</v>
      </c>
      <c r="Z266" s="3">
        <v>0</v>
      </c>
      <c r="AA266" s="3">
        <v>12</v>
      </c>
      <c r="AB266" s="11" t="s">
        <v>397</v>
      </c>
    </row>
    <row r="267" spans="1:28">
      <c r="A267" s="3" t="s">
        <v>371</v>
      </c>
      <c r="B267" s="3" t="s">
        <v>181</v>
      </c>
      <c r="C267" s="3">
        <v>16</v>
      </c>
      <c r="D267" s="3" t="s">
        <v>183</v>
      </c>
      <c r="E267" s="3">
        <v>5.0999999999999996</v>
      </c>
      <c r="F267" s="3">
        <v>2024</v>
      </c>
      <c r="G267" s="4">
        <v>0.75927733333333336</v>
      </c>
      <c r="H267" s="3">
        <v>3</v>
      </c>
      <c r="I267" s="4">
        <v>0.40878632877988141</v>
      </c>
      <c r="J267" s="4">
        <f t="shared" si="43"/>
        <v>0.2360128969621034</v>
      </c>
      <c r="K267" s="4">
        <v>1.2622573333333333</v>
      </c>
      <c r="L267" s="3">
        <v>3</v>
      </c>
      <c r="M267" s="4">
        <v>9.0624787455383007E-2</v>
      </c>
      <c r="N267" s="4">
        <f t="shared" si="44"/>
        <v>5.2322245432618E-2</v>
      </c>
      <c r="O267" s="4">
        <f t="shared" si="45"/>
        <v>0.50828982773656095</v>
      </c>
      <c r="P267" s="4">
        <f t="shared" si="46"/>
        <v>9.8339006581060415E-2</v>
      </c>
      <c r="Q267" s="3" t="s">
        <v>318</v>
      </c>
      <c r="R267" s="3" t="s">
        <v>186</v>
      </c>
      <c r="S267" s="3" t="s">
        <v>222</v>
      </c>
      <c r="T267" s="3" t="s">
        <v>97</v>
      </c>
      <c r="U267" s="3" t="s">
        <v>337</v>
      </c>
      <c r="V267" s="3" t="s">
        <v>332</v>
      </c>
      <c r="W267" s="3" t="s">
        <v>360</v>
      </c>
      <c r="X267" s="3" t="s">
        <v>148</v>
      </c>
      <c r="Y267" s="3">
        <v>50</v>
      </c>
      <c r="Z267" s="3">
        <v>0</v>
      </c>
      <c r="AA267" s="3">
        <v>12</v>
      </c>
      <c r="AB267" s="11" t="s">
        <v>397</v>
      </c>
    </row>
    <row r="268" spans="1:28">
      <c r="A268" s="3" t="s">
        <v>371</v>
      </c>
      <c r="B268" s="3" t="s">
        <v>181</v>
      </c>
      <c r="C268" s="3">
        <v>17</v>
      </c>
      <c r="D268" s="3" t="s">
        <v>183</v>
      </c>
      <c r="E268" s="3">
        <v>5.0999999999999996</v>
      </c>
      <c r="F268" s="3">
        <v>2024</v>
      </c>
      <c r="G268" s="4">
        <v>1.8467906666666665</v>
      </c>
      <c r="H268" s="3">
        <v>3</v>
      </c>
      <c r="I268" s="4">
        <v>0.57355994149289591</v>
      </c>
      <c r="J268" s="4">
        <f t="shared" si="43"/>
        <v>0.33114498661730946</v>
      </c>
      <c r="K268" s="4">
        <v>2.6778773333333334</v>
      </c>
      <c r="L268" s="3">
        <v>3</v>
      </c>
      <c r="M268" s="4">
        <v>0.64732155336071606</v>
      </c>
      <c r="N268" s="4">
        <f t="shared" si="44"/>
        <v>0.37373127308505616</v>
      </c>
      <c r="O268" s="4">
        <f t="shared" si="45"/>
        <v>0.37157508304133002</v>
      </c>
      <c r="P268" s="4">
        <f t="shared" si="46"/>
        <v>5.1629177516276756E-2</v>
      </c>
      <c r="Q268" s="3" t="s">
        <v>300</v>
      </c>
      <c r="R268" s="3" t="s">
        <v>187</v>
      </c>
      <c r="S268" s="3" t="s">
        <v>222</v>
      </c>
      <c r="T268" s="3" t="s">
        <v>97</v>
      </c>
      <c r="U268" s="3" t="s">
        <v>337</v>
      </c>
      <c r="V268" s="3" t="s">
        <v>332</v>
      </c>
      <c r="W268" s="3" t="s">
        <v>360</v>
      </c>
      <c r="X268" s="3" t="s">
        <v>148</v>
      </c>
      <c r="Y268" s="3">
        <v>50</v>
      </c>
      <c r="Z268" s="3">
        <v>0</v>
      </c>
      <c r="AA268" s="3">
        <v>12</v>
      </c>
      <c r="AB268" s="11" t="s">
        <v>397</v>
      </c>
    </row>
    <row r="269" spans="1:28">
      <c r="A269" s="3" t="s">
        <v>371</v>
      </c>
      <c r="B269" s="3" t="s">
        <v>181</v>
      </c>
      <c r="C269" s="3">
        <v>18</v>
      </c>
      <c r="D269" s="3" t="s">
        <v>183</v>
      </c>
      <c r="E269" s="3">
        <v>5.0999999999999996</v>
      </c>
      <c r="F269" s="3">
        <v>2024</v>
      </c>
      <c r="G269" s="4">
        <v>1.8195693333333331</v>
      </c>
      <c r="H269" s="3">
        <v>3</v>
      </c>
      <c r="I269" s="4">
        <v>0.85519670473016574</v>
      </c>
      <c r="J269" s="4">
        <f t="shared" si="43"/>
        <v>0.49374804768604214</v>
      </c>
      <c r="K269" s="4">
        <v>1.9451600000000002</v>
      </c>
      <c r="L269" s="3">
        <v>3</v>
      </c>
      <c r="M269" s="4">
        <v>1.1557198742878825</v>
      </c>
      <c r="N269" s="4">
        <f t="shared" si="44"/>
        <v>0.66725518052790944</v>
      </c>
      <c r="O269" s="4">
        <f t="shared" si="45"/>
        <v>6.6744392847087206E-2</v>
      </c>
      <c r="P269" s="4">
        <f t="shared" si="46"/>
        <v>0.19130521214062104</v>
      </c>
      <c r="Q269" s="3" t="s">
        <v>300</v>
      </c>
      <c r="R269" s="3" t="s">
        <v>187</v>
      </c>
      <c r="S269" s="3" t="s">
        <v>222</v>
      </c>
      <c r="T269" s="3" t="s">
        <v>97</v>
      </c>
      <c r="U269" s="3" t="s">
        <v>337</v>
      </c>
      <c r="V269" s="3" t="s">
        <v>332</v>
      </c>
      <c r="W269" s="3" t="s">
        <v>360</v>
      </c>
      <c r="X269" s="3" t="s">
        <v>148</v>
      </c>
      <c r="Y269" s="3">
        <v>50</v>
      </c>
      <c r="Z269" s="3">
        <v>0</v>
      </c>
      <c r="AA269" s="3">
        <v>12</v>
      </c>
      <c r="AB269" s="11" t="s">
        <v>397</v>
      </c>
    </row>
    <row r="270" spans="1:28">
      <c r="A270" s="3" t="s">
        <v>371</v>
      </c>
      <c r="B270" s="3" t="s">
        <v>181</v>
      </c>
      <c r="C270" s="3">
        <v>19</v>
      </c>
      <c r="D270" s="3" t="s">
        <v>183</v>
      </c>
      <c r="E270" s="3">
        <v>5.0999999999999996</v>
      </c>
      <c r="F270" s="3">
        <v>2024</v>
      </c>
      <c r="G270" s="4">
        <v>2.6345933333333331</v>
      </c>
      <c r="H270" s="3">
        <v>3</v>
      </c>
      <c r="I270" s="4">
        <v>1.4583208435256405</v>
      </c>
      <c r="J270" s="4">
        <f t="shared" si="43"/>
        <v>0.84196193157437071</v>
      </c>
      <c r="K270" s="4">
        <v>1.4860439999999999</v>
      </c>
      <c r="L270" s="3">
        <v>3</v>
      </c>
      <c r="M270" s="4">
        <v>0.18711105250091548</v>
      </c>
      <c r="N270" s="4">
        <f t="shared" si="44"/>
        <v>0.10802861652975776</v>
      </c>
      <c r="O270" s="4">
        <f t="shared" si="45"/>
        <v>-0.5726112818343333</v>
      </c>
      <c r="P270" s="4">
        <f t="shared" si="46"/>
        <v>0.1074156617453403</v>
      </c>
      <c r="Q270" s="3" t="s">
        <v>300</v>
      </c>
      <c r="R270" s="3" t="s">
        <v>187</v>
      </c>
      <c r="S270" s="3" t="s">
        <v>222</v>
      </c>
      <c r="T270" s="3" t="s">
        <v>97</v>
      </c>
      <c r="U270" s="3" t="s">
        <v>337</v>
      </c>
      <c r="V270" s="3" t="s">
        <v>332</v>
      </c>
      <c r="W270" s="3" t="s">
        <v>360</v>
      </c>
      <c r="X270" s="3" t="s">
        <v>148</v>
      </c>
      <c r="Y270" s="3">
        <v>50</v>
      </c>
      <c r="Z270" s="3">
        <v>0</v>
      </c>
      <c r="AA270" s="3">
        <v>12</v>
      </c>
      <c r="AB270" s="11" t="s">
        <v>397</v>
      </c>
    </row>
    <row r="271" spans="1:28">
      <c r="A271" s="3" t="s">
        <v>371</v>
      </c>
      <c r="B271" s="3" t="s">
        <v>181</v>
      </c>
      <c r="C271" s="3">
        <v>20</v>
      </c>
      <c r="D271" s="3" t="s">
        <v>183</v>
      </c>
      <c r="E271" s="3">
        <v>5.0999999999999996</v>
      </c>
      <c r="F271" s="3">
        <v>2024</v>
      </c>
      <c r="G271" s="4">
        <v>2.4222893333333335</v>
      </c>
      <c r="H271" s="3">
        <v>3</v>
      </c>
      <c r="I271" s="4">
        <v>0.15824461516694113</v>
      </c>
      <c r="J271" s="4">
        <f t="shared" si="43"/>
        <v>9.13625711644422E-2</v>
      </c>
      <c r="K271" s="4">
        <v>1.9350546666666668</v>
      </c>
      <c r="L271" s="3">
        <v>3</v>
      </c>
      <c r="M271" s="4">
        <v>0.64188579794643708</v>
      </c>
      <c r="N271" s="4">
        <f t="shared" si="44"/>
        <v>0.37059293823337319</v>
      </c>
      <c r="O271" s="4">
        <f t="shared" si="45"/>
        <v>-0.2245775209070264</v>
      </c>
      <c r="P271" s="4">
        <f t="shared" si="46"/>
        <v>3.810078789155201E-2</v>
      </c>
      <c r="Q271" s="3" t="s">
        <v>300</v>
      </c>
      <c r="R271" s="3" t="s">
        <v>187</v>
      </c>
      <c r="S271" s="3" t="s">
        <v>222</v>
      </c>
      <c r="T271" s="3" t="s">
        <v>97</v>
      </c>
      <c r="U271" s="3" t="s">
        <v>337</v>
      </c>
      <c r="V271" s="3" t="s">
        <v>332</v>
      </c>
      <c r="W271" s="3" t="s">
        <v>360</v>
      </c>
      <c r="X271" s="3" t="s">
        <v>148</v>
      </c>
      <c r="Y271" s="3">
        <v>50</v>
      </c>
      <c r="Z271" s="3">
        <v>0</v>
      </c>
      <c r="AA271" s="3">
        <v>12</v>
      </c>
      <c r="AB271" s="11" t="s">
        <v>397</v>
      </c>
    </row>
    <row r="272" spans="1:28">
      <c r="A272" s="3" t="s">
        <v>371</v>
      </c>
      <c r="B272" s="3" t="s">
        <v>181</v>
      </c>
      <c r="C272" s="3">
        <v>21</v>
      </c>
      <c r="D272" s="3" t="s">
        <v>183</v>
      </c>
      <c r="E272" s="3">
        <v>5.0999999999999996</v>
      </c>
      <c r="F272" s="3">
        <v>2024</v>
      </c>
      <c r="G272" s="4">
        <v>1.6942133333333331</v>
      </c>
      <c r="H272" s="3">
        <v>3</v>
      </c>
      <c r="I272" s="4">
        <v>1.0589455437053101</v>
      </c>
      <c r="J272" s="4">
        <f t="shared" si="43"/>
        <v>0.6113824947154155</v>
      </c>
      <c r="K272" s="4">
        <v>1.8451506666666668</v>
      </c>
      <c r="L272" s="3">
        <v>3</v>
      </c>
      <c r="M272" s="4">
        <v>0.23851253942158385</v>
      </c>
      <c r="N272" s="4">
        <f t="shared" si="44"/>
        <v>0.13770527884015266</v>
      </c>
      <c r="O272" s="4">
        <f t="shared" si="45"/>
        <v>8.5342413336126813E-2</v>
      </c>
      <c r="P272" s="4">
        <f t="shared" si="46"/>
        <v>0.13579340667432682</v>
      </c>
      <c r="Q272" s="3" t="s">
        <v>300</v>
      </c>
      <c r="R272" s="3" t="s">
        <v>188</v>
      </c>
      <c r="S272" s="3" t="s">
        <v>222</v>
      </c>
      <c r="T272" s="3" t="s">
        <v>97</v>
      </c>
      <c r="U272" s="3" t="s">
        <v>337</v>
      </c>
      <c r="V272" s="3" t="s">
        <v>332</v>
      </c>
      <c r="W272" s="3" t="s">
        <v>360</v>
      </c>
      <c r="X272" s="3" t="s">
        <v>148</v>
      </c>
      <c r="Y272" s="3">
        <v>50</v>
      </c>
      <c r="Z272" s="3">
        <v>0</v>
      </c>
      <c r="AA272" s="3">
        <v>12</v>
      </c>
      <c r="AB272" s="11" t="s">
        <v>397</v>
      </c>
    </row>
    <row r="273" spans="1:28">
      <c r="A273" s="3" t="s">
        <v>371</v>
      </c>
      <c r="B273" s="3" t="s">
        <v>181</v>
      </c>
      <c r="C273" s="3">
        <v>22</v>
      </c>
      <c r="D273" s="3" t="s">
        <v>183</v>
      </c>
      <c r="E273" s="3">
        <v>5.0999999999999996</v>
      </c>
      <c r="F273" s="3">
        <v>2024</v>
      </c>
      <c r="G273" s="4">
        <v>1.1401844443333333</v>
      </c>
      <c r="H273" s="3">
        <v>3</v>
      </c>
      <c r="I273" s="4">
        <v>0.87806374565991308</v>
      </c>
      <c r="J273" s="4">
        <f t="shared" si="43"/>
        <v>0.5069503399224019</v>
      </c>
      <c r="K273" s="4">
        <v>1.7434933333333333</v>
      </c>
      <c r="L273" s="3">
        <v>3</v>
      </c>
      <c r="M273" s="4">
        <v>0.95785538560543271</v>
      </c>
      <c r="N273" s="4">
        <f t="shared" si="44"/>
        <v>0.55301806472402937</v>
      </c>
      <c r="O273" s="4">
        <f t="shared" si="45"/>
        <v>0.42470072080589949</v>
      </c>
      <c r="P273" s="4">
        <f t="shared" si="46"/>
        <v>0.29829742244146296</v>
      </c>
      <c r="Q273" s="3" t="s">
        <v>300</v>
      </c>
      <c r="R273" s="3" t="s">
        <v>188</v>
      </c>
      <c r="S273" s="3" t="s">
        <v>222</v>
      </c>
      <c r="T273" s="3" t="s">
        <v>97</v>
      </c>
      <c r="U273" s="3" t="s">
        <v>337</v>
      </c>
      <c r="V273" s="3" t="s">
        <v>332</v>
      </c>
      <c r="W273" s="3" t="s">
        <v>360</v>
      </c>
      <c r="X273" s="3" t="s">
        <v>148</v>
      </c>
      <c r="Y273" s="3">
        <v>50</v>
      </c>
      <c r="Z273" s="3">
        <v>0</v>
      </c>
      <c r="AA273" s="3">
        <v>12</v>
      </c>
      <c r="AB273" s="11" t="s">
        <v>397</v>
      </c>
    </row>
    <row r="274" spans="1:28">
      <c r="A274" s="3" t="s">
        <v>371</v>
      </c>
      <c r="B274" s="3" t="s">
        <v>181</v>
      </c>
      <c r="C274" s="3">
        <v>23</v>
      </c>
      <c r="D274" s="3" t="s">
        <v>183</v>
      </c>
      <c r="E274" s="3">
        <v>5.0999999999999996</v>
      </c>
      <c r="F274" s="3">
        <v>2024</v>
      </c>
      <c r="G274" s="4">
        <v>1.2181120000000001</v>
      </c>
      <c r="H274" s="3">
        <v>2</v>
      </c>
      <c r="I274" s="4">
        <v>0.43195739049123788</v>
      </c>
      <c r="J274" s="4">
        <f t="shared" si="43"/>
        <v>0.30543999999999977</v>
      </c>
      <c r="K274" s="4">
        <v>1.1307973333333334</v>
      </c>
      <c r="L274" s="3">
        <v>3</v>
      </c>
      <c r="M274" s="4">
        <v>0.55582570442660673</v>
      </c>
      <c r="N274" s="4">
        <f t="shared" si="44"/>
        <v>0.32090612007321478</v>
      </c>
      <c r="O274" s="4">
        <f t="shared" si="45"/>
        <v>-7.4379130461139017E-2</v>
      </c>
      <c r="P274" s="4">
        <f t="shared" si="46"/>
        <v>0.14341024138660752</v>
      </c>
      <c r="Q274" s="3" t="s">
        <v>300</v>
      </c>
      <c r="R274" s="3" t="s">
        <v>188</v>
      </c>
      <c r="S274" s="3" t="s">
        <v>222</v>
      </c>
      <c r="T274" s="3" t="s">
        <v>97</v>
      </c>
      <c r="U274" s="3" t="s">
        <v>337</v>
      </c>
      <c r="V274" s="3" t="s">
        <v>332</v>
      </c>
      <c r="W274" s="3" t="s">
        <v>360</v>
      </c>
      <c r="X274" s="3" t="s">
        <v>148</v>
      </c>
      <c r="Y274" s="3">
        <v>50</v>
      </c>
      <c r="Z274" s="3">
        <v>0</v>
      </c>
      <c r="AA274" s="3">
        <v>12</v>
      </c>
      <c r="AB274" s="11" t="s">
        <v>397</v>
      </c>
    </row>
    <row r="275" spans="1:28">
      <c r="A275" s="3" t="s">
        <v>371</v>
      </c>
      <c r="B275" s="3" t="s">
        <v>181</v>
      </c>
      <c r="C275" s="3">
        <v>24</v>
      </c>
      <c r="D275" s="3" t="s">
        <v>183</v>
      </c>
      <c r="E275" s="3">
        <v>5.0999999999999996</v>
      </c>
      <c r="F275" s="3">
        <v>2024</v>
      </c>
      <c r="G275" s="4">
        <v>1.2892053333333333</v>
      </c>
      <c r="H275" s="3">
        <v>3</v>
      </c>
      <c r="I275" s="4">
        <v>0.26435947699549828</v>
      </c>
      <c r="J275" s="4">
        <f t="shared" si="43"/>
        <v>0.15262801520617961</v>
      </c>
      <c r="K275" s="4">
        <v>1.362538</v>
      </c>
      <c r="L275" s="3">
        <v>2</v>
      </c>
      <c r="M275" s="4">
        <v>0.47759406214901795</v>
      </c>
      <c r="N275" s="4">
        <f t="shared" si="44"/>
        <v>0.33771000000000001</v>
      </c>
      <c r="O275" s="4">
        <f t="shared" si="45"/>
        <v>5.5323129191549601E-2</v>
      </c>
      <c r="P275" s="4">
        <f t="shared" si="46"/>
        <v>7.5447433456632296E-2</v>
      </c>
      <c r="Q275" s="3" t="s">
        <v>300</v>
      </c>
      <c r="R275" s="3" t="s">
        <v>188</v>
      </c>
      <c r="S275" s="3" t="s">
        <v>222</v>
      </c>
      <c r="T275" s="3" t="s">
        <v>97</v>
      </c>
      <c r="U275" s="3" t="s">
        <v>337</v>
      </c>
      <c r="V275" s="3" t="s">
        <v>332</v>
      </c>
      <c r="W275" s="3" t="s">
        <v>360</v>
      </c>
      <c r="X275" s="3" t="s">
        <v>148</v>
      </c>
      <c r="Y275" s="3">
        <v>50</v>
      </c>
      <c r="Z275" s="3">
        <v>0</v>
      </c>
      <c r="AA275" s="3">
        <v>12</v>
      </c>
      <c r="AB275" s="11" t="s">
        <v>397</v>
      </c>
    </row>
    <row r="276" spans="1:28">
      <c r="A276" s="3" t="s">
        <v>371</v>
      </c>
      <c r="B276" s="3" t="s">
        <v>181</v>
      </c>
      <c r="C276" s="3">
        <v>25</v>
      </c>
      <c r="D276" s="3" t="s">
        <v>183</v>
      </c>
      <c r="E276" s="3">
        <v>5.0999999999999996</v>
      </c>
      <c r="F276" s="3">
        <v>2024</v>
      </c>
      <c r="G276" s="4">
        <v>1.7207853333333334</v>
      </c>
      <c r="H276" s="3">
        <v>3</v>
      </c>
      <c r="I276" s="4">
        <v>1.4242987027464895</v>
      </c>
      <c r="J276" s="4">
        <f t="shared" si="43"/>
        <v>0.82231923943712049</v>
      </c>
      <c r="K276" s="4">
        <v>1.6933706666666668</v>
      </c>
      <c r="L276" s="3">
        <v>3</v>
      </c>
      <c r="M276" s="4">
        <v>1.0595622878629327</v>
      </c>
      <c r="N276" s="4">
        <f t="shared" si="44"/>
        <v>0.61173857212083993</v>
      </c>
      <c r="O276" s="4">
        <f t="shared" si="45"/>
        <v>-1.6059755844203355E-2</v>
      </c>
      <c r="P276" s="4">
        <f t="shared" si="46"/>
        <v>0.35886908599576661</v>
      </c>
      <c r="Q276" s="3" t="s">
        <v>319</v>
      </c>
      <c r="R276" s="3" t="s">
        <v>189</v>
      </c>
      <c r="S276" s="3" t="s">
        <v>222</v>
      </c>
      <c r="T276" s="3" t="s">
        <v>97</v>
      </c>
      <c r="U276" s="3" t="s">
        <v>337</v>
      </c>
      <c r="V276" s="3" t="s">
        <v>332</v>
      </c>
      <c r="W276" s="3" t="s">
        <v>360</v>
      </c>
      <c r="X276" s="3" t="s">
        <v>148</v>
      </c>
      <c r="Y276" s="3">
        <v>50</v>
      </c>
      <c r="Z276" s="3">
        <v>0</v>
      </c>
      <c r="AA276" s="3">
        <v>12</v>
      </c>
      <c r="AB276" s="11" t="s">
        <v>397</v>
      </c>
    </row>
    <row r="277" spans="1:28">
      <c r="A277" s="3" t="s">
        <v>371</v>
      </c>
      <c r="B277" s="3" t="s">
        <v>181</v>
      </c>
      <c r="C277" s="3">
        <v>26</v>
      </c>
      <c r="D277" s="3" t="s">
        <v>183</v>
      </c>
      <c r="E277" s="3">
        <v>5.0999999999999996</v>
      </c>
      <c r="F277" s="3">
        <v>2024</v>
      </c>
      <c r="G277" s="4">
        <v>2.7265199999999994</v>
      </c>
      <c r="H277" s="3">
        <v>3</v>
      </c>
      <c r="I277" s="4">
        <v>0.35248693799345998</v>
      </c>
      <c r="J277" s="4">
        <f t="shared" si="43"/>
        <v>0.20350842853635107</v>
      </c>
      <c r="K277" s="4">
        <v>1.626629333333333</v>
      </c>
      <c r="L277" s="3">
        <v>3</v>
      </c>
      <c r="M277" s="4">
        <v>0.92019402611695655</v>
      </c>
      <c r="N277" s="4">
        <f t="shared" si="44"/>
        <v>0.53127426868531047</v>
      </c>
      <c r="O277" s="4">
        <f t="shared" si="45"/>
        <v>-0.51651609065487536</v>
      </c>
      <c r="P277" s="4">
        <f t="shared" si="46"/>
        <v>0.11224562133438265</v>
      </c>
      <c r="Q277" s="3" t="s">
        <v>319</v>
      </c>
      <c r="R277" s="3" t="s">
        <v>189</v>
      </c>
      <c r="S277" s="3" t="s">
        <v>222</v>
      </c>
      <c r="T277" s="3" t="s">
        <v>97</v>
      </c>
      <c r="U277" s="3" t="s">
        <v>337</v>
      </c>
      <c r="V277" s="3" t="s">
        <v>332</v>
      </c>
      <c r="W277" s="3" t="s">
        <v>360</v>
      </c>
      <c r="X277" s="3" t="s">
        <v>148</v>
      </c>
      <c r="Y277" s="3">
        <v>50</v>
      </c>
      <c r="Z277" s="3">
        <v>0</v>
      </c>
      <c r="AA277" s="3">
        <v>12</v>
      </c>
      <c r="AB277" s="11" t="s">
        <v>397</v>
      </c>
    </row>
    <row r="278" spans="1:28">
      <c r="A278" s="3" t="s">
        <v>371</v>
      </c>
      <c r="B278" s="3" t="s">
        <v>181</v>
      </c>
      <c r="C278" s="3">
        <v>27</v>
      </c>
      <c r="D278" s="3" t="s">
        <v>183</v>
      </c>
      <c r="E278" s="3">
        <v>5.0999999999999996</v>
      </c>
      <c r="F278" s="3">
        <v>2024</v>
      </c>
      <c r="G278" s="4">
        <v>1.7473773333333333</v>
      </c>
      <c r="H278" s="3">
        <v>3</v>
      </c>
      <c r="I278" s="4">
        <v>0.40043502892396116</v>
      </c>
      <c r="J278" s="4">
        <f t="shared" si="43"/>
        <v>0.23119127174220458</v>
      </c>
      <c r="K278" s="4">
        <v>3.3315986666666668</v>
      </c>
      <c r="L278" s="3">
        <v>3</v>
      </c>
      <c r="M278" s="4">
        <v>3.7046998273529979</v>
      </c>
      <c r="N278" s="4">
        <f t="shared" si="44"/>
        <v>2.1389094425890134</v>
      </c>
      <c r="O278" s="4">
        <f t="shared" si="45"/>
        <v>0.64533627172625829</v>
      </c>
      <c r="P278" s="4">
        <f t="shared" si="46"/>
        <v>0.4296781988038097</v>
      </c>
      <c r="Q278" s="3" t="s">
        <v>319</v>
      </c>
      <c r="R278" s="3" t="s">
        <v>189</v>
      </c>
      <c r="S278" s="3" t="s">
        <v>222</v>
      </c>
      <c r="T278" s="3" t="s">
        <v>97</v>
      </c>
      <c r="U278" s="3" t="s">
        <v>337</v>
      </c>
      <c r="V278" s="3" t="s">
        <v>332</v>
      </c>
      <c r="W278" s="3" t="s">
        <v>360</v>
      </c>
      <c r="X278" s="3" t="s">
        <v>148</v>
      </c>
      <c r="Y278" s="3">
        <v>50</v>
      </c>
      <c r="Z278" s="3">
        <v>0</v>
      </c>
      <c r="AA278" s="3">
        <v>12</v>
      </c>
      <c r="AB278" s="11" t="s">
        <v>397</v>
      </c>
    </row>
    <row r="279" spans="1:28">
      <c r="A279" s="3" t="s">
        <v>371</v>
      </c>
      <c r="B279" s="3" t="s">
        <v>181</v>
      </c>
      <c r="C279" s="3">
        <v>28</v>
      </c>
      <c r="D279" s="3" t="s">
        <v>183</v>
      </c>
      <c r="E279" s="3">
        <v>5.0999999999999996</v>
      </c>
      <c r="F279" s="3">
        <v>2024</v>
      </c>
      <c r="G279" s="4">
        <v>3.2247053333333331</v>
      </c>
      <c r="H279" s="3">
        <v>3</v>
      </c>
      <c r="I279" s="4">
        <v>0.2367591905826115</v>
      </c>
      <c r="J279" s="4">
        <f t="shared" si="43"/>
        <v>0.13669298241598865</v>
      </c>
      <c r="K279" s="4">
        <v>2.0378760000000002</v>
      </c>
      <c r="L279" s="3">
        <v>3</v>
      </c>
      <c r="M279" s="4">
        <v>1.7282885989185948</v>
      </c>
      <c r="N279" s="4">
        <f t="shared" si="44"/>
        <v>0.99782788782301191</v>
      </c>
      <c r="O279" s="4">
        <f t="shared" si="45"/>
        <v>-0.45893348757945113</v>
      </c>
      <c r="P279" s="4">
        <f t="shared" si="46"/>
        <v>0.24154527900621317</v>
      </c>
      <c r="Q279" s="3" t="s">
        <v>319</v>
      </c>
      <c r="R279" s="3" t="s">
        <v>189</v>
      </c>
      <c r="S279" s="3" t="s">
        <v>222</v>
      </c>
      <c r="T279" s="3" t="s">
        <v>97</v>
      </c>
      <c r="U279" s="3" t="s">
        <v>337</v>
      </c>
      <c r="V279" s="3" t="s">
        <v>332</v>
      </c>
      <c r="W279" s="3" t="s">
        <v>360</v>
      </c>
      <c r="X279" s="3" t="s">
        <v>148</v>
      </c>
      <c r="Y279" s="3">
        <v>50</v>
      </c>
      <c r="Z279" s="3">
        <v>0</v>
      </c>
      <c r="AA279" s="3">
        <v>12</v>
      </c>
      <c r="AB279" s="11" t="s">
        <v>397</v>
      </c>
    </row>
    <row r="280" spans="1:28">
      <c r="A280" s="3" t="s">
        <v>371</v>
      </c>
      <c r="B280" s="3" t="s">
        <v>181</v>
      </c>
      <c r="C280" s="3">
        <v>29</v>
      </c>
      <c r="D280" s="3" t="s">
        <v>183</v>
      </c>
      <c r="E280" s="3">
        <v>5.0999999999999996</v>
      </c>
      <c r="F280" s="3">
        <v>2024</v>
      </c>
      <c r="G280" s="4">
        <v>3.0033266666666663</v>
      </c>
      <c r="H280" s="3">
        <v>3</v>
      </c>
      <c r="I280" s="4">
        <v>0.80924420740672287</v>
      </c>
      <c r="J280" s="4">
        <f t="shared" si="43"/>
        <v>0.46721736098641681</v>
      </c>
      <c r="K280" s="4">
        <v>2.2398773333333337</v>
      </c>
      <c r="L280" s="3">
        <v>3</v>
      </c>
      <c r="M280" s="4">
        <v>0.96092953851431351</v>
      </c>
      <c r="N280" s="4">
        <f t="shared" si="44"/>
        <v>0.55479292773350175</v>
      </c>
      <c r="O280" s="4">
        <f t="shared" si="45"/>
        <v>-0.29329946073114727</v>
      </c>
      <c r="P280" s="4">
        <f t="shared" si="46"/>
        <v>8.5550801331489484E-2</v>
      </c>
      <c r="Q280" s="3" t="s">
        <v>319</v>
      </c>
      <c r="R280" s="3" t="s">
        <v>190</v>
      </c>
      <c r="S280" s="3" t="s">
        <v>222</v>
      </c>
      <c r="T280" s="3" t="s">
        <v>97</v>
      </c>
      <c r="U280" s="3" t="s">
        <v>337</v>
      </c>
      <c r="V280" s="3" t="s">
        <v>332</v>
      </c>
      <c r="W280" s="3" t="s">
        <v>360</v>
      </c>
      <c r="X280" s="3" t="s">
        <v>148</v>
      </c>
      <c r="Y280" s="3">
        <v>50</v>
      </c>
      <c r="Z280" s="3">
        <v>0</v>
      </c>
      <c r="AA280" s="3">
        <v>12</v>
      </c>
      <c r="AB280" s="11" t="s">
        <v>397</v>
      </c>
    </row>
    <row r="281" spans="1:28">
      <c r="A281" s="3" t="s">
        <v>371</v>
      </c>
      <c r="B281" s="3" t="s">
        <v>181</v>
      </c>
      <c r="C281" s="3">
        <v>30</v>
      </c>
      <c r="D281" s="3" t="s">
        <v>183</v>
      </c>
      <c r="E281" s="3">
        <v>5.0999999999999996</v>
      </c>
      <c r="F281" s="3">
        <v>2024</v>
      </c>
      <c r="G281" s="4">
        <v>2.4290586666666667</v>
      </c>
      <c r="H281" s="3">
        <v>3</v>
      </c>
      <c r="I281" s="4">
        <v>0.4632070825422826</v>
      </c>
      <c r="J281" s="4">
        <f t="shared" si="43"/>
        <v>0.26743273379632809</v>
      </c>
      <c r="K281" s="4">
        <v>1.7935933333333332</v>
      </c>
      <c r="L281" s="3">
        <v>3</v>
      </c>
      <c r="M281" s="4">
        <v>0.47548458075245115</v>
      </c>
      <c r="N281" s="4">
        <f t="shared" si="44"/>
        <v>0.27452115069294403</v>
      </c>
      <c r="O281" s="4">
        <f t="shared" si="45"/>
        <v>-0.30328274591945431</v>
      </c>
      <c r="P281" s="4">
        <f t="shared" si="46"/>
        <v>3.5547707166670509E-2</v>
      </c>
      <c r="Q281" s="3" t="s">
        <v>319</v>
      </c>
      <c r="R281" s="3" t="s">
        <v>190</v>
      </c>
      <c r="S281" s="3" t="s">
        <v>222</v>
      </c>
      <c r="T281" s="3" t="s">
        <v>97</v>
      </c>
      <c r="U281" s="3" t="s">
        <v>337</v>
      </c>
      <c r="V281" s="3" t="s">
        <v>332</v>
      </c>
      <c r="W281" s="3" t="s">
        <v>360</v>
      </c>
      <c r="X281" s="3" t="s">
        <v>148</v>
      </c>
      <c r="Y281" s="3">
        <v>50</v>
      </c>
      <c r="Z281" s="3">
        <v>0</v>
      </c>
      <c r="AA281" s="3">
        <v>12</v>
      </c>
      <c r="AB281" s="11" t="s">
        <v>397</v>
      </c>
    </row>
    <row r="282" spans="1:28">
      <c r="A282" s="3" t="s">
        <v>371</v>
      </c>
      <c r="B282" s="3" t="s">
        <v>181</v>
      </c>
      <c r="C282" s="3">
        <v>31</v>
      </c>
      <c r="D282" s="3" t="s">
        <v>183</v>
      </c>
      <c r="E282" s="3">
        <v>5.0999999999999996</v>
      </c>
      <c r="F282" s="3">
        <v>2024</v>
      </c>
      <c r="G282" s="4">
        <v>0.539632</v>
      </c>
      <c r="H282" s="3">
        <v>2</v>
      </c>
      <c r="I282" s="4">
        <v>0.4077799954289078</v>
      </c>
      <c r="J282" s="4">
        <f t="shared" si="43"/>
        <v>0.28834400000000004</v>
      </c>
      <c r="K282" s="4">
        <v>2.5971066666666669</v>
      </c>
      <c r="L282" s="3">
        <v>3</v>
      </c>
      <c r="M282" s="4">
        <v>1.9509701608680063</v>
      </c>
      <c r="N282" s="4">
        <f t="shared" si="44"/>
        <v>1.1263931475580711</v>
      </c>
      <c r="O282" s="4">
        <f t="shared" si="45"/>
        <v>1.5712658580894789</v>
      </c>
      <c r="P282" s="4">
        <f t="shared" si="46"/>
        <v>0.47361840513502107</v>
      </c>
      <c r="Q282" s="3" t="s">
        <v>319</v>
      </c>
      <c r="R282" s="3" t="s">
        <v>190</v>
      </c>
      <c r="S282" s="3" t="s">
        <v>222</v>
      </c>
      <c r="T282" s="3" t="s">
        <v>97</v>
      </c>
      <c r="U282" s="3" t="s">
        <v>337</v>
      </c>
      <c r="V282" s="3" t="s">
        <v>332</v>
      </c>
      <c r="W282" s="3" t="s">
        <v>360</v>
      </c>
      <c r="X282" s="3" t="s">
        <v>148</v>
      </c>
      <c r="Y282" s="3">
        <v>50</v>
      </c>
      <c r="Z282" s="3">
        <v>0</v>
      </c>
      <c r="AA282" s="3">
        <v>12</v>
      </c>
      <c r="AB282" s="11" t="s">
        <v>397</v>
      </c>
    </row>
    <row r="283" spans="1:28">
      <c r="A283" s="3" t="s">
        <v>371</v>
      </c>
      <c r="B283" s="3" t="s">
        <v>181</v>
      </c>
      <c r="C283" s="3">
        <v>32</v>
      </c>
      <c r="D283" s="3" t="s">
        <v>183</v>
      </c>
      <c r="E283" s="3">
        <v>5.0999999999999996</v>
      </c>
      <c r="F283" s="3">
        <v>2024</v>
      </c>
      <c r="G283" s="4">
        <v>1.7035066666666667</v>
      </c>
      <c r="H283" s="3">
        <v>3</v>
      </c>
      <c r="I283" s="4">
        <v>0.51128974001570959</v>
      </c>
      <c r="J283" s="4">
        <f t="shared" si="43"/>
        <v>0.29519326903196375</v>
      </c>
      <c r="K283" s="4">
        <v>1.0111133333333333</v>
      </c>
      <c r="L283" s="3">
        <v>3</v>
      </c>
      <c r="M283" s="4">
        <v>0.48910635015846354</v>
      </c>
      <c r="N283" s="4">
        <f t="shared" si="44"/>
        <v>0.28238568292634431</v>
      </c>
      <c r="O283" s="4">
        <f t="shared" si="45"/>
        <v>-0.52163683763625712</v>
      </c>
      <c r="P283" s="4">
        <f t="shared" si="46"/>
        <v>0.10802631461411834</v>
      </c>
      <c r="Q283" s="3" t="s">
        <v>319</v>
      </c>
      <c r="R283" s="3" t="s">
        <v>190</v>
      </c>
      <c r="S283" s="3" t="s">
        <v>222</v>
      </c>
      <c r="T283" s="3" t="s">
        <v>97</v>
      </c>
      <c r="U283" s="3" t="s">
        <v>337</v>
      </c>
      <c r="V283" s="3" t="s">
        <v>332</v>
      </c>
      <c r="W283" s="3" t="s">
        <v>360</v>
      </c>
      <c r="X283" s="3" t="s">
        <v>148</v>
      </c>
      <c r="Y283" s="3">
        <v>50</v>
      </c>
      <c r="Z283" s="3">
        <v>0</v>
      </c>
      <c r="AA283" s="3">
        <v>12</v>
      </c>
      <c r="AB283" s="11" t="s">
        <v>397</v>
      </c>
    </row>
    <row r="284" spans="1:28">
      <c r="A284" s="3" t="s">
        <v>371</v>
      </c>
      <c r="B284" s="3" t="s">
        <v>181</v>
      </c>
      <c r="C284" s="3">
        <v>33</v>
      </c>
      <c r="D284" s="3" t="s">
        <v>183</v>
      </c>
      <c r="E284" s="3">
        <v>5.0999999999999996</v>
      </c>
      <c r="F284" s="3">
        <v>2024</v>
      </c>
      <c r="G284" s="4">
        <v>1.6296546666666665</v>
      </c>
      <c r="H284" s="3">
        <v>3</v>
      </c>
      <c r="I284" s="4">
        <v>0.91568135811827833</v>
      </c>
      <c r="J284" s="4">
        <f t="shared" si="43"/>
        <v>0.52866887860151013</v>
      </c>
      <c r="K284" s="4">
        <v>1.7201346666666666</v>
      </c>
      <c r="L284" s="3">
        <v>3</v>
      </c>
      <c r="M284" s="4">
        <v>0.4143571423076155</v>
      </c>
      <c r="N284" s="4">
        <f t="shared" si="44"/>
        <v>0.23922920765194589</v>
      </c>
      <c r="O284" s="4">
        <f t="shared" si="45"/>
        <v>5.4034450901868751E-2</v>
      </c>
      <c r="P284" s="4">
        <f t="shared" si="46"/>
        <v>0.12458099995830907</v>
      </c>
      <c r="Q284" s="3" t="s">
        <v>319</v>
      </c>
      <c r="R284" s="3" t="s">
        <v>191</v>
      </c>
      <c r="S284" s="3" t="s">
        <v>222</v>
      </c>
      <c r="T284" s="3" t="s">
        <v>97</v>
      </c>
      <c r="U284" s="3" t="s">
        <v>337</v>
      </c>
      <c r="V284" s="3" t="s">
        <v>332</v>
      </c>
      <c r="W284" s="3" t="s">
        <v>360</v>
      </c>
      <c r="X284" s="3" t="s">
        <v>148</v>
      </c>
      <c r="Y284" s="3">
        <v>50</v>
      </c>
      <c r="Z284" s="3">
        <v>0</v>
      </c>
      <c r="AA284" s="3">
        <v>12</v>
      </c>
      <c r="AB284" s="11" t="s">
        <v>397</v>
      </c>
    </row>
    <row r="285" spans="1:28">
      <c r="A285" s="3" t="s">
        <v>371</v>
      </c>
      <c r="B285" s="3" t="s">
        <v>181</v>
      </c>
      <c r="C285" s="3">
        <v>34</v>
      </c>
      <c r="D285" s="3" t="s">
        <v>183</v>
      </c>
      <c r="E285" s="3">
        <v>5.0999999999999996</v>
      </c>
      <c r="F285" s="3">
        <v>2024</v>
      </c>
      <c r="G285" s="4">
        <v>0.84975866666666666</v>
      </c>
      <c r="H285" s="3">
        <v>3</v>
      </c>
      <c r="I285" s="4">
        <v>0.62102036249170889</v>
      </c>
      <c r="J285" s="4">
        <f t="shared" si="43"/>
        <v>0.3585462734568271</v>
      </c>
      <c r="K285" s="4">
        <v>2.1099213333333333</v>
      </c>
      <c r="L285" s="3">
        <v>3</v>
      </c>
      <c r="M285" s="4">
        <v>1.1952230964457355</v>
      </c>
      <c r="N285" s="4">
        <f t="shared" si="44"/>
        <v>0.69006237647460344</v>
      </c>
      <c r="O285" s="4">
        <f t="shared" si="45"/>
        <v>0.90945355539230599</v>
      </c>
      <c r="P285" s="4">
        <f t="shared" si="46"/>
        <v>0.28499808150731054</v>
      </c>
      <c r="Q285" s="3" t="s">
        <v>319</v>
      </c>
      <c r="R285" s="3" t="s">
        <v>191</v>
      </c>
      <c r="S285" s="3" t="s">
        <v>222</v>
      </c>
      <c r="T285" s="3" t="s">
        <v>97</v>
      </c>
      <c r="U285" s="3" t="s">
        <v>337</v>
      </c>
      <c r="V285" s="3" t="s">
        <v>332</v>
      </c>
      <c r="W285" s="3" t="s">
        <v>360</v>
      </c>
      <c r="X285" s="3" t="s">
        <v>148</v>
      </c>
      <c r="Y285" s="3">
        <v>50</v>
      </c>
      <c r="Z285" s="3">
        <v>0</v>
      </c>
      <c r="AA285" s="3">
        <v>12</v>
      </c>
      <c r="AB285" s="11" t="s">
        <v>397</v>
      </c>
    </row>
    <row r="286" spans="1:28">
      <c r="A286" s="3" t="s">
        <v>371</v>
      </c>
      <c r="B286" s="3" t="s">
        <v>181</v>
      </c>
      <c r="C286" s="3">
        <v>35</v>
      </c>
      <c r="D286" s="3" t="s">
        <v>183</v>
      </c>
      <c r="E286" s="3">
        <v>5.0999999999999996</v>
      </c>
      <c r="F286" s="3">
        <v>2024</v>
      </c>
      <c r="G286" s="4">
        <v>0.9846879999999999</v>
      </c>
      <c r="H286" s="3">
        <v>3</v>
      </c>
      <c r="I286" s="4">
        <v>0.63635331402609996</v>
      </c>
      <c r="J286" s="4">
        <f t="shared" si="43"/>
        <v>0.36739875715267928</v>
      </c>
      <c r="K286" s="4">
        <v>0.80754266666666663</v>
      </c>
      <c r="L286" s="3">
        <v>3</v>
      </c>
      <c r="M286" s="4">
        <v>0.45557674768290501</v>
      </c>
      <c r="N286" s="4">
        <f t="shared" si="44"/>
        <v>0.26302735791125942</v>
      </c>
      <c r="O286" s="4">
        <f t="shared" si="45"/>
        <v>-0.19832894804854317</v>
      </c>
      <c r="P286" s="4">
        <f t="shared" si="46"/>
        <v>0.24530157987946677</v>
      </c>
      <c r="Q286" s="3" t="s">
        <v>319</v>
      </c>
      <c r="R286" s="3" t="s">
        <v>191</v>
      </c>
      <c r="S286" s="3" t="s">
        <v>222</v>
      </c>
      <c r="T286" s="3" t="s">
        <v>97</v>
      </c>
      <c r="U286" s="3" t="s">
        <v>337</v>
      </c>
      <c r="V286" s="3" t="s">
        <v>332</v>
      </c>
      <c r="W286" s="3" t="s">
        <v>360</v>
      </c>
      <c r="X286" s="3" t="s">
        <v>148</v>
      </c>
      <c r="Y286" s="3">
        <v>50</v>
      </c>
      <c r="Z286" s="3">
        <v>0</v>
      </c>
      <c r="AA286" s="3">
        <v>12</v>
      </c>
      <c r="AB286" s="11" t="s">
        <v>397</v>
      </c>
    </row>
    <row r="287" spans="1:28">
      <c r="A287" s="3" t="s">
        <v>371</v>
      </c>
      <c r="B287" s="3" t="s">
        <v>181</v>
      </c>
      <c r="C287" s="3">
        <v>36</v>
      </c>
      <c r="D287" s="3" t="s">
        <v>183</v>
      </c>
      <c r="E287" s="3">
        <v>5.0999999999999996</v>
      </c>
      <c r="F287" s="3">
        <v>2024</v>
      </c>
      <c r="G287" s="4">
        <v>2.017684</v>
      </c>
      <c r="H287" s="3">
        <v>3</v>
      </c>
      <c r="I287" s="4">
        <v>1.9262655672736304</v>
      </c>
      <c r="J287" s="4">
        <f t="shared" si="43"/>
        <v>1.1121299437961378</v>
      </c>
      <c r="K287" s="4">
        <v>1.4260533333333332</v>
      </c>
      <c r="L287" s="3">
        <v>3</v>
      </c>
      <c r="M287" s="4">
        <v>0.43356664154583396</v>
      </c>
      <c r="N287" s="4">
        <f t="shared" si="44"/>
        <v>0.25031981720812924</v>
      </c>
      <c r="O287" s="4">
        <f t="shared" si="45"/>
        <v>-0.3470395970387421</v>
      </c>
      <c r="P287" s="4">
        <f t="shared" si="46"/>
        <v>0.33462382311472483</v>
      </c>
      <c r="Q287" s="3" t="s">
        <v>319</v>
      </c>
      <c r="R287" s="3" t="s">
        <v>191</v>
      </c>
      <c r="S287" s="3" t="s">
        <v>222</v>
      </c>
      <c r="T287" s="3" t="s">
        <v>97</v>
      </c>
      <c r="U287" s="3" t="s">
        <v>337</v>
      </c>
      <c r="V287" s="3" t="s">
        <v>332</v>
      </c>
      <c r="W287" s="3" t="s">
        <v>360</v>
      </c>
      <c r="X287" s="3" t="s">
        <v>148</v>
      </c>
      <c r="Y287" s="3">
        <v>50</v>
      </c>
      <c r="Z287" s="3">
        <v>0</v>
      </c>
      <c r="AA287" s="3">
        <v>12</v>
      </c>
      <c r="AB287" s="11" t="s">
        <v>397</v>
      </c>
    </row>
    <row r="288" spans="1:28">
      <c r="A288" s="3" t="s">
        <v>371</v>
      </c>
      <c r="B288" s="3" t="s">
        <v>181</v>
      </c>
      <c r="C288" s="3">
        <v>37</v>
      </c>
      <c r="D288" s="3" t="s">
        <v>183</v>
      </c>
      <c r="E288" s="3">
        <v>5.0999999999999996</v>
      </c>
      <c r="F288" s="3">
        <v>2024</v>
      </c>
      <c r="G288" s="4">
        <v>1.917432</v>
      </c>
      <c r="H288" s="3">
        <v>3</v>
      </c>
      <c r="I288" s="4">
        <v>0.80040783535395277</v>
      </c>
      <c r="J288" s="4">
        <f t="shared" si="43"/>
        <v>0.46211567920309032</v>
      </c>
      <c r="K288" s="4">
        <v>0.97996000000000005</v>
      </c>
      <c r="L288" s="3">
        <v>3</v>
      </c>
      <c r="M288" s="4">
        <v>0.11126585014279987</v>
      </c>
      <c r="N288" s="4">
        <f t="shared" si="44"/>
        <v>6.4239368531558066E-2</v>
      </c>
      <c r="O288" s="4">
        <f t="shared" si="45"/>
        <v>-0.67123031526526911</v>
      </c>
      <c r="P288" s="4">
        <f t="shared" si="46"/>
        <v>6.2381864515942742E-2</v>
      </c>
      <c r="Q288" s="3" t="s">
        <v>319</v>
      </c>
      <c r="R288" s="3" t="s">
        <v>192</v>
      </c>
      <c r="S288" s="3" t="s">
        <v>222</v>
      </c>
      <c r="T288" s="3" t="s">
        <v>97</v>
      </c>
      <c r="U288" s="3" t="s">
        <v>337</v>
      </c>
      <c r="V288" s="3" t="s">
        <v>332</v>
      </c>
      <c r="W288" s="3" t="s">
        <v>360</v>
      </c>
      <c r="X288" s="3" t="s">
        <v>148</v>
      </c>
      <c r="Y288" s="3">
        <v>50</v>
      </c>
      <c r="Z288" s="3">
        <v>0</v>
      </c>
      <c r="AA288" s="3">
        <v>12</v>
      </c>
      <c r="AB288" s="11" t="s">
        <v>397</v>
      </c>
    </row>
    <row r="289" spans="1:28">
      <c r="A289" s="3" t="s">
        <v>371</v>
      </c>
      <c r="B289" s="3" t="s">
        <v>181</v>
      </c>
      <c r="C289" s="3">
        <v>38</v>
      </c>
      <c r="D289" s="3" t="s">
        <v>183</v>
      </c>
      <c r="E289" s="3">
        <v>5.0999999999999996</v>
      </c>
      <c r="F289" s="3">
        <v>2024</v>
      </c>
      <c r="G289" s="4">
        <v>2.4537519999999997</v>
      </c>
      <c r="H289" s="3">
        <v>3</v>
      </c>
      <c r="I289" s="4">
        <v>0.90147479656837914</v>
      </c>
      <c r="J289" s="4">
        <f t="shared" si="43"/>
        <v>0.52046671646641685</v>
      </c>
      <c r="K289" s="4">
        <v>2.8951173333333333</v>
      </c>
      <c r="L289" s="3">
        <v>3</v>
      </c>
      <c r="M289" s="4">
        <v>1.4974134408603834</v>
      </c>
      <c r="N289" s="4">
        <f t="shared" si="44"/>
        <v>0.86453205316890613</v>
      </c>
      <c r="O289" s="4">
        <f t="shared" si="45"/>
        <v>0.16540735816531205</v>
      </c>
      <c r="P289" s="4">
        <f t="shared" si="46"/>
        <v>0.13416316845160925</v>
      </c>
      <c r="Q289" s="3" t="s">
        <v>319</v>
      </c>
      <c r="R289" s="3" t="s">
        <v>192</v>
      </c>
      <c r="S289" s="3" t="s">
        <v>222</v>
      </c>
      <c r="T289" s="3" t="s">
        <v>97</v>
      </c>
      <c r="U289" s="3" t="s">
        <v>337</v>
      </c>
      <c r="V289" s="3" t="s">
        <v>332</v>
      </c>
      <c r="W289" s="3" t="s">
        <v>360</v>
      </c>
      <c r="X289" s="3" t="s">
        <v>148</v>
      </c>
      <c r="Y289" s="3">
        <v>50</v>
      </c>
      <c r="Z289" s="3">
        <v>0</v>
      </c>
      <c r="AA289" s="3">
        <v>12</v>
      </c>
      <c r="AB289" s="11" t="s">
        <v>397</v>
      </c>
    </row>
    <row r="290" spans="1:28">
      <c r="A290" s="3" t="s">
        <v>371</v>
      </c>
      <c r="B290" s="3" t="s">
        <v>181</v>
      </c>
      <c r="C290" s="3">
        <v>39</v>
      </c>
      <c r="D290" s="3" t="s">
        <v>183</v>
      </c>
      <c r="E290" s="3">
        <v>5.0999999999999996</v>
      </c>
      <c r="F290" s="3">
        <v>2024</v>
      </c>
      <c r="G290" s="4">
        <v>1.017768</v>
      </c>
      <c r="H290" s="3">
        <v>3</v>
      </c>
      <c r="I290" s="4">
        <v>0.68961333866450136</v>
      </c>
      <c r="J290" s="4">
        <f t="shared" si="43"/>
        <v>0.39814844671470645</v>
      </c>
      <c r="K290" s="4">
        <v>1.7224626666666667</v>
      </c>
      <c r="L290" s="3">
        <v>3</v>
      </c>
      <c r="M290" s="4">
        <v>0.56308551027116061</v>
      </c>
      <c r="N290" s="4">
        <f t="shared" si="44"/>
        <v>0.32509757093183239</v>
      </c>
      <c r="O290" s="4">
        <f t="shared" si="45"/>
        <v>0.52614305543046047</v>
      </c>
      <c r="P290" s="4">
        <f t="shared" si="46"/>
        <v>0.18865837937634966</v>
      </c>
      <c r="Q290" s="3" t="s">
        <v>319</v>
      </c>
      <c r="R290" s="3" t="s">
        <v>192</v>
      </c>
      <c r="S290" s="3" t="s">
        <v>222</v>
      </c>
      <c r="T290" s="3" t="s">
        <v>97</v>
      </c>
      <c r="U290" s="3" t="s">
        <v>337</v>
      </c>
      <c r="V290" s="3" t="s">
        <v>332</v>
      </c>
      <c r="W290" s="3" t="s">
        <v>360</v>
      </c>
      <c r="X290" s="3" t="s">
        <v>148</v>
      </c>
      <c r="Y290" s="3">
        <v>50</v>
      </c>
      <c r="Z290" s="3">
        <v>0</v>
      </c>
      <c r="AA290" s="3">
        <v>12</v>
      </c>
      <c r="AB290" s="11" t="s">
        <v>397</v>
      </c>
    </row>
    <row r="291" spans="1:28">
      <c r="A291" s="3" t="s">
        <v>371</v>
      </c>
      <c r="B291" s="3" t="s">
        <v>181</v>
      </c>
      <c r="C291" s="3">
        <v>40</v>
      </c>
      <c r="D291" s="3" t="s">
        <v>183</v>
      </c>
      <c r="E291" s="3">
        <v>5.0999999999999996</v>
      </c>
      <c r="F291" s="3">
        <v>2024</v>
      </c>
      <c r="G291" s="4">
        <v>1.6642306666666666</v>
      </c>
      <c r="H291" s="3">
        <v>3</v>
      </c>
      <c r="I291" s="4">
        <v>0.98541074361777303</v>
      </c>
      <c r="J291" s="4">
        <f t="shared" si="43"/>
        <v>0.56892715809007055</v>
      </c>
      <c r="K291" s="4">
        <v>1.1531146666666665</v>
      </c>
      <c r="L291" s="3">
        <v>3</v>
      </c>
      <c r="M291" s="4">
        <v>0.4157354843904158</v>
      </c>
      <c r="N291" s="4">
        <f t="shared" si="44"/>
        <v>0.24002499382448603</v>
      </c>
      <c r="O291" s="4">
        <f t="shared" si="45"/>
        <v>-0.36689626753645022</v>
      </c>
      <c r="P291" s="4">
        <f t="shared" si="46"/>
        <v>0.16019342171132012</v>
      </c>
      <c r="Q291" s="3" t="s">
        <v>319</v>
      </c>
      <c r="R291" s="3" t="s">
        <v>192</v>
      </c>
      <c r="S291" s="3" t="s">
        <v>222</v>
      </c>
      <c r="T291" s="3" t="s">
        <v>97</v>
      </c>
      <c r="U291" s="3" t="s">
        <v>337</v>
      </c>
      <c r="V291" s="3" t="s">
        <v>332</v>
      </c>
      <c r="W291" s="3" t="s">
        <v>360</v>
      </c>
      <c r="X291" s="3" t="s">
        <v>148</v>
      </c>
      <c r="Y291" s="3">
        <v>50</v>
      </c>
      <c r="Z291" s="3">
        <v>0</v>
      </c>
      <c r="AA291" s="3">
        <v>12</v>
      </c>
      <c r="AB291" s="11" t="s">
        <v>397</v>
      </c>
    </row>
    <row r="292" spans="1:28">
      <c r="A292" s="3" t="s">
        <v>372</v>
      </c>
      <c r="B292" s="3" t="s">
        <v>193</v>
      </c>
      <c r="C292" s="3">
        <v>1</v>
      </c>
      <c r="D292" s="3" t="s">
        <v>194</v>
      </c>
      <c r="E292" s="3">
        <v>2</v>
      </c>
      <c r="F292" s="3">
        <v>2008</v>
      </c>
      <c r="G292" s="3">
        <v>4.9069099999999999</v>
      </c>
      <c r="H292" s="3">
        <v>23</v>
      </c>
      <c r="I292" s="4">
        <f t="shared" ref="I292:I367" si="47" xml:space="preserve"> J292 * SQRT(H292)</f>
        <v>2.709740727302155</v>
      </c>
      <c r="J292" s="4">
        <v>0.56502000000000052</v>
      </c>
      <c r="K292" s="4">
        <v>5.3423400000000001</v>
      </c>
      <c r="L292" s="3">
        <v>23</v>
      </c>
      <c r="M292" s="4">
        <f t="shared" ref="M292:M323" si="48" xml:space="preserve"> N292 * SQRT(L292)</f>
        <v>2.4934966839159798</v>
      </c>
      <c r="N292" s="4">
        <v>0.51992999999999956</v>
      </c>
      <c r="O292" s="4">
        <f t="shared" si="45"/>
        <v>8.501934344246577E-2</v>
      </c>
      <c r="P292" s="4">
        <f t="shared" si="46"/>
        <v>2.2730694155501975E-2</v>
      </c>
      <c r="Q292" s="3" t="s">
        <v>327</v>
      </c>
      <c r="R292" s="3" t="s">
        <v>195</v>
      </c>
      <c r="S292" s="3" t="s">
        <v>222</v>
      </c>
      <c r="T292" s="3" t="s">
        <v>8</v>
      </c>
      <c r="U292" s="3" t="s">
        <v>335</v>
      </c>
      <c r="V292" s="3" t="s">
        <v>332</v>
      </c>
      <c r="W292" s="3" t="s">
        <v>360</v>
      </c>
      <c r="X292" s="3" t="s">
        <v>148</v>
      </c>
      <c r="Y292" s="3" t="s">
        <v>363</v>
      </c>
      <c r="Z292" s="3">
        <v>0</v>
      </c>
      <c r="AA292" s="3">
        <v>5</v>
      </c>
      <c r="AB292" s="11" t="s">
        <v>397</v>
      </c>
    </row>
    <row r="293" spans="1:28">
      <c r="A293" s="3" t="s">
        <v>372</v>
      </c>
      <c r="B293" s="3" t="s">
        <v>193</v>
      </c>
      <c r="C293" s="3">
        <v>2</v>
      </c>
      <c r="D293" s="3" t="s">
        <v>194</v>
      </c>
      <c r="E293" s="3">
        <v>2</v>
      </c>
      <c r="F293" s="3">
        <v>2008</v>
      </c>
      <c r="G293" s="3">
        <v>3.42516</v>
      </c>
      <c r="H293" s="3">
        <v>23</v>
      </c>
      <c r="I293" s="4">
        <f t="shared" si="47"/>
        <v>1.6962856097957082</v>
      </c>
      <c r="J293" s="4">
        <v>0.3536999999999999</v>
      </c>
      <c r="K293" s="4">
        <v>4.1441499999999998</v>
      </c>
      <c r="L293" s="3">
        <v>23</v>
      </c>
      <c r="M293" s="4">
        <f t="shared" si="48"/>
        <v>1.7152291443127963</v>
      </c>
      <c r="N293" s="4">
        <v>0.35765000000000047</v>
      </c>
      <c r="O293" s="4">
        <f t="shared" si="45"/>
        <v>0.19054951526175762</v>
      </c>
      <c r="P293" s="4">
        <f t="shared" si="46"/>
        <v>1.8111812092318248E-2</v>
      </c>
      <c r="Q293" s="3" t="s">
        <v>327</v>
      </c>
      <c r="R293" s="3" t="s">
        <v>195</v>
      </c>
      <c r="S293" s="3" t="s">
        <v>222</v>
      </c>
      <c r="T293" s="3" t="s">
        <v>8</v>
      </c>
      <c r="U293" s="3" t="s">
        <v>335</v>
      </c>
      <c r="V293" s="3" t="s">
        <v>332</v>
      </c>
      <c r="W293" s="3" t="s">
        <v>360</v>
      </c>
      <c r="X293" s="3" t="s">
        <v>148</v>
      </c>
      <c r="Y293" s="3" t="s">
        <v>363</v>
      </c>
      <c r="Z293" s="3">
        <v>0</v>
      </c>
      <c r="AA293" s="3">
        <v>5</v>
      </c>
      <c r="AB293" s="11" t="s">
        <v>397</v>
      </c>
    </row>
    <row r="294" spans="1:28">
      <c r="A294" s="3" t="s">
        <v>372</v>
      </c>
      <c r="B294" s="3" t="s">
        <v>193</v>
      </c>
      <c r="C294" s="3">
        <v>3</v>
      </c>
      <c r="D294" s="3" t="s">
        <v>194</v>
      </c>
      <c r="E294" s="3">
        <v>2</v>
      </c>
      <c r="F294" s="3">
        <v>2008</v>
      </c>
      <c r="G294" s="3">
        <v>13.223280000000001</v>
      </c>
      <c r="H294" s="3">
        <v>10</v>
      </c>
      <c r="I294" s="4">
        <f t="shared" si="47"/>
        <v>7.0170941279136327</v>
      </c>
      <c r="J294" s="4">
        <v>2.2189999999999994</v>
      </c>
      <c r="K294" s="4">
        <v>14.136939999999999</v>
      </c>
      <c r="L294" s="3">
        <v>10</v>
      </c>
      <c r="M294" s="4">
        <f t="shared" si="48"/>
        <v>5.2414752217290914</v>
      </c>
      <c r="N294" s="4">
        <v>1.6575000000000006</v>
      </c>
      <c r="O294" s="4">
        <f t="shared" si="45"/>
        <v>6.6812317118474129E-2</v>
      </c>
      <c r="P294" s="4">
        <f t="shared" si="46"/>
        <v>4.1906861242554168E-2</v>
      </c>
      <c r="Q294" s="3" t="s">
        <v>327</v>
      </c>
      <c r="R294" s="3" t="s">
        <v>195</v>
      </c>
      <c r="S294" s="3" t="s">
        <v>222</v>
      </c>
      <c r="T294" s="3" t="s">
        <v>8</v>
      </c>
      <c r="U294" s="3" t="s">
        <v>335</v>
      </c>
      <c r="V294" s="3" t="s">
        <v>332</v>
      </c>
      <c r="W294" s="3" t="s">
        <v>329</v>
      </c>
      <c r="X294" s="3" t="s">
        <v>100</v>
      </c>
      <c r="Y294" s="3" t="s">
        <v>363</v>
      </c>
      <c r="Z294" s="3">
        <v>0</v>
      </c>
      <c r="AA294" s="3">
        <v>6</v>
      </c>
      <c r="AB294" s="11" t="s">
        <v>397</v>
      </c>
    </row>
    <row r="295" spans="1:28">
      <c r="A295" s="3" t="s">
        <v>372</v>
      </c>
      <c r="B295" s="3" t="s">
        <v>193</v>
      </c>
      <c r="C295" s="3">
        <v>4</v>
      </c>
      <c r="D295" s="3" t="s">
        <v>194</v>
      </c>
      <c r="E295" s="3">
        <v>2</v>
      </c>
      <c r="F295" s="3">
        <v>2008</v>
      </c>
      <c r="G295" s="3">
        <v>7.6065899999999997</v>
      </c>
      <c r="H295" s="3">
        <v>10</v>
      </c>
      <c r="I295" s="4">
        <f t="shared" si="47"/>
        <v>4.9650605314537692</v>
      </c>
      <c r="J295" s="4">
        <v>1.5700899999999995</v>
      </c>
      <c r="K295" s="4">
        <v>9.0984499999999997</v>
      </c>
      <c r="L295" s="3">
        <v>10</v>
      </c>
      <c r="M295" s="4">
        <f t="shared" si="48"/>
        <v>3.3206129026130098</v>
      </c>
      <c r="N295" s="4">
        <v>1.0500699999999998</v>
      </c>
      <c r="O295" s="4">
        <f t="shared" si="45"/>
        <v>0.17908909250787841</v>
      </c>
      <c r="P295" s="4">
        <f t="shared" si="46"/>
        <v>5.5925756618006889E-2</v>
      </c>
      <c r="Q295" s="3" t="s">
        <v>327</v>
      </c>
      <c r="R295" s="3" t="s">
        <v>195</v>
      </c>
      <c r="S295" s="3" t="s">
        <v>222</v>
      </c>
      <c r="T295" s="3" t="s">
        <v>8</v>
      </c>
      <c r="U295" s="3" t="s">
        <v>335</v>
      </c>
      <c r="V295" s="3" t="s">
        <v>332</v>
      </c>
      <c r="W295" s="3" t="s">
        <v>329</v>
      </c>
      <c r="X295" s="3" t="s">
        <v>100</v>
      </c>
      <c r="Y295" s="3" t="s">
        <v>363</v>
      </c>
      <c r="Z295" s="3">
        <v>0</v>
      </c>
      <c r="AA295" s="3">
        <v>6</v>
      </c>
      <c r="AB295" s="11" t="s">
        <v>397</v>
      </c>
    </row>
    <row r="296" spans="1:28">
      <c r="A296" s="3" t="s">
        <v>372</v>
      </c>
      <c r="B296" s="3" t="s">
        <v>193</v>
      </c>
      <c r="C296" s="3">
        <v>5</v>
      </c>
      <c r="D296" s="3" t="s">
        <v>194</v>
      </c>
      <c r="E296" s="3">
        <v>2</v>
      </c>
      <c r="F296" s="3">
        <v>2008</v>
      </c>
      <c r="G296" s="3">
        <v>7.3905599999999998</v>
      </c>
      <c r="H296" s="3">
        <v>10</v>
      </c>
      <c r="I296" s="4">
        <f t="shared" si="47"/>
        <v>10.154611154002895</v>
      </c>
      <c r="J296" s="4">
        <v>3.2111700000000001</v>
      </c>
      <c r="K296" s="4">
        <v>9.7156300000000009</v>
      </c>
      <c r="L296" s="3">
        <v>10</v>
      </c>
      <c r="M296" s="4">
        <f t="shared" si="48"/>
        <v>7.2319076493688721</v>
      </c>
      <c r="N296" s="4">
        <v>2.2869299999999999</v>
      </c>
      <c r="O296" s="4">
        <f t="shared" si="45"/>
        <v>0.27353241873219875</v>
      </c>
      <c r="P296" s="4">
        <f t="shared" si="46"/>
        <v>0.24419381454106573</v>
      </c>
      <c r="Q296" s="3" t="s">
        <v>327</v>
      </c>
      <c r="R296" s="3" t="s">
        <v>195</v>
      </c>
      <c r="S296" s="3" t="s">
        <v>222</v>
      </c>
      <c r="T296" s="3" t="s">
        <v>8</v>
      </c>
      <c r="U296" s="3" t="s">
        <v>335</v>
      </c>
      <c r="V296" s="3" t="s">
        <v>332</v>
      </c>
      <c r="W296" s="3" t="s">
        <v>329</v>
      </c>
      <c r="X296" s="3" t="s">
        <v>100</v>
      </c>
      <c r="Y296" s="3" t="s">
        <v>363</v>
      </c>
      <c r="Z296" s="3">
        <v>0</v>
      </c>
      <c r="AA296" s="3">
        <v>6</v>
      </c>
      <c r="AB296" s="11" t="s">
        <v>397</v>
      </c>
    </row>
    <row r="297" spans="1:28">
      <c r="A297" s="3" t="s">
        <v>372</v>
      </c>
      <c r="B297" s="3" t="s">
        <v>193</v>
      </c>
      <c r="C297" s="3">
        <v>6</v>
      </c>
      <c r="D297" s="3" t="s">
        <v>194</v>
      </c>
      <c r="E297" s="3">
        <v>2</v>
      </c>
      <c r="F297" s="3">
        <v>2008</v>
      </c>
      <c r="G297" s="3">
        <v>7.7080599999999997</v>
      </c>
      <c r="H297" s="3">
        <v>10</v>
      </c>
      <c r="I297" s="4">
        <f t="shared" si="47"/>
        <v>13.554533980332929</v>
      </c>
      <c r="J297" s="4">
        <v>4.2863199999999999</v>
      </c>
      <c r="K297" s="4">
        <v>1.20909</v>
      </c>
      <c r="L297" s="3">
        <v>10</v>
      </c>
      <c r="M297" s="4">
        <f t="shared" si="48"/>
        <v>1.0963932875569791</v>
      </c>
      <c r="N297" s="4">
        <v>0.34671000000000007</v>
      </c>
      <c r="O297" s="4">
        <f t="shared" ref="O297:O298" si="49">LN(K297/G297)</f>
        <v>-1.8523985240928627</v>
      </c>
      <c r="P297" s="4">
        <f t="shared" ref="P297:P298" si="50">(M297^2)/(L297*(K297^2)) + (I297^2)/(H297*(G297^2))</f>
        <v>0.39145533536021099</v>
      </c>
      <c r="Q297" s="3" t="s">
        <v>327</v>
      </c>
      <c r="R297" s="3" t="s">
        <v>195</v>
      </c>
      <c r="S297" s="3" t="s">
        <v>222</v>
      </c>
      <c r="T297" s="3" t="s">
        <v>8</v>
      </c>
      <c r="U297" s="3" t="s">
        <v>335</v>
      </c>
      <c r="V297" s="3" t="s">
        <v>332</v>
      </c>
      <c r="W297" s="3" t="s">
        <v>112</v>
      </c>
      <c r="X297" s="3" t="s">
        <v>98</v>
      </c>
      <c r="Y297" s="3">
        <v>70</v>
      </c>
      <c r="Z297" s="3">
        <v>0</v>
      </c>
      <c r="AA297" s="3">
        <v>6</v>
      </c>
      <c r="AB297" s="11" t="s">
        <v>397</v>
      </c>
    </row>
    <row r="298" spans="1:28">
      <c r="A298" s="3" t="s">
        <v>372</v>
      </c>
      <c r="B298" s="3" t="s">
        <v>193</v>
      </c>
      <c r="C298" s="3">
        <v>7</v>
      </c>
      <c r="D298" s="3" t="s">
        <v>194</v>
      </c>
      <c r="E298" s="3">
        <v>2</v>
      </c>
      <c r="F298" s="3">
        <v>2008</v>
      </c>
      <c r="G298" s="3">
        <v>0.59540000000000004</v>
      </c>
      <c r="H298" s="3">
        <v>10</v>
      </c>
      <c r="I298" s="4">
        <f t="shared" si="47"/>
        <v>0.55052091785871304</v>
      </c>
      <c r="J298" s="4">
        <v>0.17408999999999997</v>
      </c>
      <c r="K298" s="4">
        <v>1.11839</v>
      </c>
      <c r="L298" s="3">
        <v>10</v>
      </c>
      <c r="M298" s="4">
        <f t="shared" si="48"/>
        <v>0</v>
      </c>
      <c r="N298" s="4">
        <v>0</v>
      </c>
      <c r="O298" s="4">
        <f t="shared" si="49"/>
        <v>0.63041198151311739</v>
      </c>
      <c r="P298" s="4">
        <f t="shared" si="50"/>
        <v>8.5492888373059156E-2</v>
      </c>
      <c r="Q298" s="3" t="s">
        <v>327</v>
      </c>
      <c r="R298" s="3" t="s">
        <v>195</v>
      </c>
      <c r="S298" s="3" t="s">
        <v>222</v>
      </c>
      <c r="T298" s="3" t="s">
        <v>8</v>
      </c>
      <c r="U298" s="3" t="s">
        <v>335</v>
      </c>
      <c r="V298" s="3" t="s">
        <v>332</v>
      </c>
      <c r="W298" s="3" t="s">
        <v>112</v>
      </c>
      <c r="X298" s="3" t="s">
        <v>98</v>
      </c>
      <c r="Y298" s="3">
        <v>70</v>
      </c>
      <c r="Z298" s="3">
        <v>0</v>
      </c>
      <c r="AA298" s="3">
        <v>6</v>
      </c>
      <c r="AB298" s="11" t="s">
        <v>397</v>
      </c>
    </row>
    <row r="299" spans="1:28">
      <c r="A299" s="3" t="s">
        <v>373</v>
      </c>
      <c r="B299" s="3" t="s">
        <v>399</v>
      </c>
      <c r="C299" s="3">
        <v>1</v>
      </c>
      <c r="D299" s="3" t="s">
        <v>40</v>
      </c>
      <c r="E299" s="3">
        <v>2.8</v>
      </c>
      <c r="F299" s="3">
        <v>2002</v>
      </c>
      <c r="G299" s="3">
        <v>6.2096799999999996</v>
      </c>
      <c r="H299" s="3">
        <v>10</v>
      </c>
      <c r="I299" s="4">
        <f t="shared" si="47"/>
        <v>1.0321674282789606</v>
      </c>
      <c r="J299" s="4">
        <v>0.32640000000000047</v>
      </c>
      <c r="K299" s="4">
        <v>7.7163899999999996</v>
      </c>
      <c r="L299" s="3">
        <v>10</v>
      </c>
      <c r="M299" s="4">
        <f t="shared" si="48"/>
        <v>2.6810738686205604</v>
      </c>
      <c r="N299" s="4">
        <v>0.84783000000000097</v>
      </c>
      <c r="O299" s="4">
        <f t="shared" si="45"/>
        <v>0.21723727326262315</v>
      </c>
      <c r="P299" s="4">
        <f t="shared" si="46"/>
        <v>1.4835156756459468E-2</v>
      </c>
      <c r="Q299" s="3" t="s">
        <v>298</v>
      </c>
      <c r="R299" s="3" t="s">
        <v>131</v>
      </c>
      <c r="S299" s="3" t="s">
        <v>221</v>
      </c>
      <c r="T299" s="3" t="s">
        <v>8</v>
      </c>
      <c r="U299" s="3" t="s">
        <v>335</v>
      </c>
      <c r="V299" s="3" t="s">
        <v>332</v>
      </c>
      <c r="W299" s="3" t="s">
        <v>329</v>
      </c>
      <c r="X299" s="3" t="s">
        <v>100</v>
      </c>
      <c r="Y299" s="3" t="s">
        <v>363</v>
      </c>
      <c r="Z299" s="3">
        <v>0</v>
      </c>
      <c r="AA299" s="3">
        <v>15</v>
      </c>
      <c r="AB299" s="11" t="s">
        <v>397</v>
      </c>
    </row>
    <row r="300" spans="1:28">
      <c r="A300" s="3" t="s">
        <v>373</v>
      </c>
      <c r="B300" s="3" t="s">
        <v>399</v>
      </c>
      <c r="C300" s="3">
        <v>2</v>
      </c>
      <c r="D300" s="3" t="s">
        <v>40</v>
      </c>
      <c r="E300" s="3">
        <v>2.8</v>
      </c>
      <c r="F300" s="3">
        <v>2002</v>
      </c>
      <c r="G300" s="3">
        <v>7.8862199999999998</v>
      </c>
      <c r="H300" s="3">
        <v>10</v>
      </c>
      <c r="I300" s="4">
        <f t="shared" si="47"/>
        <v>1.3134520261509368</v>
      </c>
      <c r="J300" s="4">
        <v>0.41535000000000011</v>
      </c>
      <c r="K300" s="4">
        <v>7.3739600000000003</v>
      </c>
      <c r="L300" s="3">
        <v>10</v>
      </c>
      <c r="M300" s="4">
        <f t="shared" si="48"/>
        <v>0.79056941504209488</v>
      </c>
      <c r="N300" s="4">
        <v>0.25</v>
      </c>
      <c r="O300" s="4">
        <f t="shared" si="45"/>
        <v>-6.7162057273344331E-2</v>
      </c>
      <c r="P300" s="4">
        <f t="shared" si="46"/>
        <v>3.9233182972665918E-3</v>
      </c>
      <c r="Q300" s="3" t="s">
        <v>298</v>
      </c>
      <c r="R300" s="3" t="s">
        <v>131</v>
      </c>
      <c r="S300" s="3" t="s">
        <v>221</v>
      </c>
      <c r="T300" s="3" t="s">
        <v>8</v>
      </c>
      <c r="U300" s="3" t="s">
        <v>335</v>
      </c>
      <c r="V300" s="3" t="s">
        <v>332</v>
      </c>
      <c r="W300" s="3" t="s">
        <v>329</v>
      </c>
      <c r="X300" s="3" t="s">
        <v>100</v>
      </c>
      <c r="Y300" s="3" t="s">
        <v>363</v>
      </c>
      <c r="Z300" s="3">
        <v>0</v>
      </c>
      <c r="AA300" s="3">
        <v>15</v>
      </c>
      <c r="AB300" s="11" t="s">
        <v>397</v>
      </c>
    </row>
    <row r="301" spans="1:28">
      <c r="A301" s="3" t="s">
        <v>373</v>
      </c>
      <c r="B301" s="3" t="s">
        <v>399</v>
      </c>
      <c r="C301" s="3">
        <v>3</v>
      </c>
      <c r="D301" s="3" t="s">
        <v>40</v>
      </c>
      <c r="E301" s="3">
        <v>2.8</v>
      </c>
      <c r="F301" s="3">
        <v>2002</v>
      </c>
      <c r="G301" s="3">
        <v>70.819040000000001</v>
      </c>
      <c r="H301" s="3">
        <v>10</v>
      </c>
      <c r="I301" s="4">
        <f t="shared" si="47"/>
        <v>12.419339545885686</v>
      </c>
      <c r="J301" s="4">
        <v>3.9273400000000009</v>
      </c>
      <c r="K301" s="4">
        <v>67.273750000000007</v>
      </c>
      <c r="L301" s="3">
        <v>10</v>
      </c>
      <c r="M301" s="4">
        <f t="shared" si="48"/>
        <v>10.54954801098129</v>
      </c>
      <c r="N301" s="4">
        <v>3.3360599999999891</v>
      </c>
      <c r="O301" s="4">
        <f t="shared" si="45"/>
        <v>-5.1357775112094717E-2</v>
      </c>
      <c r="P301" s="4">
        <f t="shared" si="46"/>
        <v>5.5344682386075641E-3</v>
      </c>
      <c r="Q301" s="3" t="s">
        <v>298</v>
      </c>
      <c r="R301" s="3" t="s">
        <v>131</v>
      </c>
      <c r="S301" s="3" t="s">
        <v>221</v>
      </c>
      <c r="T301" s="3" t="s">
        <v>8</v>
      </c>
      <c r="U301" s="3" t="s">
        <v>335</v>
      </c>
      <c r="V301" s="3" t="s">
        <v>332</v>
      </c>
      <c r="W301" s="3" t="s">
        <v>112</v>
      </c>
      <c r="X301" s="3" t="s">
        <v>98</v>
      </c>
      <c r="Y301" s="3">
        <v>20</v>
      </c>
      <c r="Z301" s="3">
        <v>0</v>
      </c>
      <c r="AA301" s="3">
        <v>6</v>
      </c>
      <c r="AB301" s="11" t="s">
        <v>397</v>
      </c>
    </row>
    <row r="302" spans="1:28">
      <c r="A302" s="3" t="s">
        <v>373</v>
      </c>
      <c r="B302" s="3" t="s">
        <v>399</v>
      </c>
      <c r="C302" s="3">
        <v>4</v>
      </c>
      <c r="D302" s="3" t="s">
        <v>40</v>
      </c>
      <c r="E302" s="3">
        <v>2.8</v>
      </c>
      <c r="F302" s="3">
        <v>2002</v>
      </c>
      <c r="G302" s="4">
        <v>0.66685000000000005</v>
      </c>
      <c r="H302" s="3">
        <v>10</v>
      </c>
      <c r="I302" s="4">
        <f t="shared" si="47"/>
        <v>0.15744980469978362</v>
      </c>
      <c r="J302" s="4">
        <v>4.9790000000000001E-2</v>
      </c>
      <c r="K302" s="4">
        <v>0.57784000000000002</v>
      </c>
      <c r="L302" s="3">
        <v>10</v>
      </c>
      <c r="M302" s="4">
        <f t="shared" si="48"/>
        <v>0.19745261710091344</v>
      </c>
      <c r="N302" s="4">
        <v>6.243999999999994E-2</v>
      </c>
      <c r="O302" s="4">
        <f t="shared" si="45"/>
        <v>-0.14326811932581218</v>
      </c>
      <c r="P302" s="4">
        <f t="shared" si="46"/>
        <v>1.7251226250262108E-2</v>
      </c>
      <c r="Q302" s="3" t="s">
        <v>298</v>
      </c>
      <c r="R302" s="3" t="s">
        <v>131</v>
      </c>
      <c r="S302" s="3" t="s">
        <v>221</v>
      </c>
      <c r="T302" s="3" t="s">
        <v>8</v>
      </c>
      <c r="U302" s="3" t="s">
        <v>335</v>
      </c>
      <c r="V302" s="3" t="s">
        <v>332</v>
      </c>
      <c r="W302" s="3" t="s">
        <v>339</v>
      </c>
      <c r="X302" s="3" t="s">
        <v>196</v>
      </c>
      <c r="Y302" s="3" t="s">
        <v>363</v>
      </c>
      <c r="Z302" s="3">
        <v>0</v>
      </c>
      <c r="AA302" s="3">
        <v>6</v>
      </c>
      <c r="AB302" s="11" t="s">
        <v>397</v>
      </c>
    </row>
    <row r="303" spans="1:28">
      <c r="A303" s="3" t="s">
        <v>374</v>
      </c>
      <c r="B303" s="3" t="s">
        <v>394</v>
      </c>
      <c r="C303" s="3">
        <v>1</v>
      </c>
      <c r="D303" s="3" t="s">
        <v>197</v>
      </c>
      <c r="E303" s="3">
        <v>4.3</v>
      </c>
      <c r="F303" s="3">
        <v>2014</v>
      </c>
      <c r="G303" s="3">
        <v>63.227690000000003</v>
      </c>
      <c r="H303" s="3">
        <v>5</v>
      </c>
      <c r="I303" s="4">
        <f t="shared" si="47"/>
        <v>10.563565257265168</v>
      </c>
      <c r="J303" s="4">
        <v>4.7241699999999938</v>
      </c>
      <c r="K303" s="4">
        <v>81.298900000000003</v>
      </c>
      <c r="L303" s="3">
        <v>5</v>
      </c>
      <c r="M303" s="4">
        <f t="shared" si="48"/>
        <v>18.258300020757666</v>
      </c>
      <c r="N303" s="4">
        <v>8.1653599999999926</v>
      </c>
      <c r="O303" s="4">
        <f t="shared" si="45"/>
        <v>0.25139014821492489</v>
      </c>
      <c r="P303" s="4">
        <f t="shared" si="46"/>
        <v>1.5670047226277031E-2</v>
      </c>
      <c r="Q303" s="3" t="s">
        <v>295</v>
      </c>
      <c r="R303" s="3" t="s">
        <v>242</v>
      </c>
      <c r="S303" s="3" t="s">
        <v>222</v>
      </c>
      <c r="T303" s="3" t="s">
        <v>8</v>
      </c>
      <c r="U303" s="3" t="s">
        <v>165</v>
      </c>
      <c r="V303" s="3" t="s">
        <v>332</v>
      </c>
      <c r="W303" s="3" t="s">
        <v>329</v>
      </c>
      <c r="X303" s="3" t="s">
        <v>100</v>
      </c>
      <c r="Y303" s="3" t="s">
        <v>363</v>
      </c>
      <c r="Z303" s="3">
        <v>0</v>
      </c>
      <c r="AA303" s="3">
        <v>6</v>
      </c>
      <c r="AB303" s="11" t="s">
        <v>398</v>
      </c>
    </row>
    <row r="304" spans="1:28">
      <c r="A304" s="3" t="s">
        <v>374</v>
      </c>
      <c r="B304" s="3" t="s">
        <v>394</v>
      </c>
      <c r="C304" s="3">
        <v>2</v>
      </c>
      <c r="D304" s="3" t="s">
        <v>197</v>
      </c>
      <c r="E304" s="3">
        <v>4.3</v>
      </c>
      <c r="F304" s="3">
        <v>2014</v>
      </c>
      <c r="G304" s="3">
        <v>63.227690000000003</v>
      </c>
      <c r="H304" s="3">
        <v>5</v>
      </c>
      <c r="I304" s="4">
        <f t="shared" si="47"/>
        <v>10.563565257265168</v>
      </c>
      <c r="J304" s="4">
        <v>4.7241699999999938</v>
      </c>
      <c r="K304" s="4">
        <v>56.442779999999999</v>
      </c>
      <c r="L304" s="3">
        <v>5</v>
      </c>
      <c r="M304" s="4">
        <f t="shared" si="48"/>
        <v>9.1269363030811217</v>
      </c>
      <c r="N304" s="4">
        <v>4.0816900000000018</v>
      </c>
      <c r="O304" s="4">
        <f t="shared" si="45"/>
        <v>-0.11351495649350478</v>
      </c>
      <c r="P304" s="4">
        <f t="shared" si="46"/>
        <v>1.0812135654342366E-2</v>
      </c>
      <c r="Q304" s="3" t="s">
        <v>295</v>
      </c>
      <c r="R304" s="3" t="s">
        <v>242</v>
      </c>
      <c r="S304" s="3" t="s">
        <v>222</v>
      </c>
      <c r="T304" s="3" t="s">
        <v>8</v>
      </c>
      <c r="U304" s="3" t="s">
        <v>165</v>
      </c>
      <c r="V304" s="3" t="s">
        <v>332</v>
      </c>
      <c r="W304" s="3" t="s">
        <v>329</v>
      </c>
      <c r="X304" s="3" t="s">
        <v>124</v>
      </c>
      <c r="Y304" s="3" t="s">
        <v>363</v>
      </c>
      <c r="Z304" s="3">
        <v>0</v>
      </c>
      <c r="AA304" s="3">
        <v>6</v>
      </c>
      <c r="AB304" s="11" t="s">
        <v>398</v>
      </c>
    </row>
    <row r="305" spans="1:28">
      <c r="A305" s="3" t="s">
        <v>374</v>
      </c>
      <c r="B305" s="3" t="s">
        <v>394</v>
      </c>
      <c r="C305" s="3">
        <v>3</v>
      </c>
      <c r="D305" s="3" t="s">
        <v>197</v>
      </c>
      <c r="E305" s="3">
        <v>4.3</v>
      </c>
      <c r="F305" s="3">
        <v>2014</v>
      </c>
      <c r="G305" s="3">
        <v>61.059539999999998</v>
      </c>
      <c r="H305" s="3">
        <v>5</v>
      </c>
      <c r="I305" s="4">
        <f t="shared" si="47"/>
        <v>9.8385872976002098</v>
      </c>
      <c r="J305" s="4">
        <v>4.399950000000004</v>
      </c>
      <c r="K305" s="4">
        <v>68.81514</v>
      </c>
      <c r="L305" s="3">
        <v>5</v>
      </c>
      <c r="M305" s="4">
        <f t="shared" si="48"/>
        <v>16.830570617124067</v>
      </c>
      <c r="N305" s="4">
        <v>7.5268599999999992</v>
      </c>
      <c r="O305" s="4">
        <f t="shared" si="45"/>
        <v>0.11957432516477198</v>
      </c>
      <c r="P305" s="4">
        <f t="shared" si="46"/>
        <v>1.7156181841144039E-2</v>
      </c>
      <c r="Q305" s="3" t="s">
        <v>295</v>
      </c>
      <c r="R305" s="3" t="s">
        <v>242</v>
      </c>
      <c r="S305" s="3" t="s">
        <v>222</v>
      </c>
      <c r="T305" s="3" t="s">
        <v>8</v>
      </c>
      <c r="U305" s="3" t="s">
        <v>165</v>
      </c>
      <c r="V305" s="3" t="s">
        <v>332</v>
      </c>
      <c r="W305" s="3" t="s">
        <v>329</v>
      </c>
      <c r="X305" s="3" t="s">
        <v>100</v>
      </c>
      <c r="Y305" s="3" t="s">
        <v>363</v>
      </c>
      <c r="Z305" s="3">
        <v>0</v>
      </c>
      <c r="AA305" s="3">
        <v>6</v>
      </c>
      <c r="AB305" s="11" t="s">
        <v>398</v>
      </c>
    </row>
    <row r="306" spans="1:28">
      <c r="A306" s="3" t="s">
        <v>374</v>
      </c>
      <c r="B306" s="3" t="s">
        <v>394</v>
      </c>
      <c r="C306" s="3">
        <v>4</v>
      </c>
      <c r="D306" s="3" t="s">
        <v>197</v>
      </c>
      <c r="E306" s="3">
        <v>4.3</v>
      </c>
      <c r="F306" s="3">
        <v>2014</v>
      </c>
      <c r="G306" s="3">
        <v>61.059539999999998</v>
      </c>
      <c r="H306" s="3">
        <v>5</v>
      </c>
      <c r="I306" s="4">
        <f t="shared" si="47"/>
        <v>9.8385872976002098</v>
      </c>
      <c r="J306" s="4">
        <v>4.399950000000004</v>
      </c>
      <c r="K306" s="4">
        <v>47.86965</v>
      </c>
      <c r="L306" s="3">
        <v>5</v>
      </c>
      <c r="M306" s="4">
        <f t="shared" si="48"/>
        <v>12.996519020183836</v>
      </c>
      <c r="N306" s="4">
        <v>5.8122200000000035</v>
      </c>
      <c r="O306" s="4">
        <f t="shared" si="45"/>
        <v>-0.24336776179569192</v>
      </c>
      <c r="P306" s="4">
        <f t="shared" si="46"/>
        <v>1.9934886187284815E-2</v>
      </c>
      <c r="Q306" s="3" t="s">
        <v>295</v>
      </c>
      <c r="R306" s="3" t="s">
        <v>242</v>
      </c>
      <c r="S306" s="3" t="s">
        <v>222</v>
      </c>
      <c r="T306" s="3" t="s">
        <v>8</v>
      </c>
      <c r="U306" s="3" t="s">
        <v>165</v>
      </c>
      <c r="V306" s="3" t="s">
        <v>332</v>
      </c>
      <c r="W306" s="3" t="s">
        <v>329</v>
      </c>
      <c r="X306" s="3" t="s">
        <v>124</v>
      </c>
      <c r="Y306" s="3" t="s">
        <v>363</v>
      </c>
      <c r="Z306" s="3">
        <v>0</v>
      </c>
      <c r="AA306" s="3">
        <v>6</v>
      </c>
      <c r="AB306" s="11" t="s">
        <v>398</v>
      </c>
    </row>
    <row r="307" spans="1:28">
      <c r="A307" s="3" t="s">
        <v>374</v>
      </c>
      <c r="B307" s="3" t="s">
        <v>394</v>
      </c>
      <c r="C307" s="3">
        <v>5</v>
      </c>
      <c r="D307" s="3" t="s">
        <v>197</v>
      </c>
      <c r="E307" s="3">
        <v>4.3</v>
      </c>
      <c r="F307" s="3">
        <v>2014</v>
      </c>
      <c r="G307" s="3">
        <v>57.701900000000002</v>
      </c>
      <c r="H307" s="3">
        <v>5</v>
      </c>
      <c r="I307" s="4">
        <f t="shared" si="47"/>
        <v>13.699270464152463</v>
      </c>
      <c r="J307" s="4">
        <v>6.1265000000000001</v>
      </c>
      <c r="K307" s="4">
        <v>77.354460000000003</v>
      </c>
      <c r="L307" s="3">
        <v>5</v>
      </c>
      <c r="M307" s="4">
        <f t="shared" si="48"/>
        <v>17.893597333627451</v>
      </c>
      <c r="N307" s="4">
        <v>8.0022599999999926</v>
      </c>
      <c r="O307" s="4">
        <f t="shared" si="45"/>
        <v>0.29310813342915804</v>
      </c>
      <c r="P307" s="4">
        <f t="shared" si="46"/>
        <v>2.1974878444994319E-2</v>
      </c>
      <c r="Q307" s="3" t="s">
        <v>295</v>
      </c>
      <c r="R307" s="3" t="s">
        <v>242</v>
      </c>
      <c r="S307" s="3" t="s">
        <v>222</v>
      </c>
      <c r="T307" s="3" t="s">
        <v>8</v>
      </c>
      <c r="U307" s="3" t="s">
        <v>165</v>
      </c>
      <c r="V307" s="3" t="s">
        <v>332</v>
      </c>
      <c r="W307" s="3" t="s">
        <v>329</v>
      </c>
      <c r="X307" s="3" t="s">
        <v>100</v>
      </c>
      <c r="Y307" s="3" t="s">
        <v>363</v>
      </c>
      <c r="Z307" s="3">
        <v>0</v>
      </c>
      <c r="AA307" s="3">
        <v>6</v>
      </c>
      <c r="AB307" s="11" t="s">
        <v>398</v>
      </c>
    </row>
    <row r="308" spans="1:28">
      <c r="A308" s="3" t="s">
        <v>374</v>
      </c>
      <c r="B308" s="3" t="s">
        <v>394</v>
      </c>
      <c r="C308" s="3">
        <v>6</v>
      </c>
      <c r="D308" s="3" t="s">
        <v>197</v>
      </c>
      <c r="E308" s="3">
        <v>4.3</v>
      </c>
      <c r="F308" s="3">
        <v>2014</v>
      </c>
      <c r="G308" s="3">
        <v>57.701900000000002</v>
      </c>
      <c r="H308" s="3">
        <v>5</v>
      </c>
      <c r="I308" s="4">
        <f t="shared" si="47"/>
        <v>13.699270464152463</v>
      </c>
      <c r="J308" s="4">
        <v>6.1265000000000001</v>
      </c>
      <c r="K308" s="4">
        <v>50.238700000000001</v>
      </c>
      <c r="L308" s="3">
        <v>5</v>
      </c>
      <c r="M308" s="4">
        <f t="shared" si="48"/>
        <v>10.536866605613831</v>
      </c>
      <c r="N308" s="4">
        <v>4.7122299999999981</v>
      </c>
      <c r="O308" s="4">
        <f t="shared" si="45"/>
        <v>-0.13850445588573504</v>
      </c>
      <c r="P308" s="4">
        <f t="shared" si="46"/>
        <v>2.0070975767904283E-2</v>
      </c>
      <c r="Q308" s="3" t="s">
        <v>295</v>
      </c>
      <c r="R308" s="3" t="s">
        <v>242</v>
      </c>
      <c r="S308" s="3" t="s">
        <v>222</v>
      </c>
      <c r="T308" s="3" t="s">
        <v>8</v>
      </c>
      <c r="U308" s="3" t="s">
        <v>165</v>
      </c>
      <c r="V308" s="3" t="s">
        <v>332</v>
      </c>
      <c r="W308" s="3" t="s">
        <v>329</v>
      </c>
      <c r="X308" s="3" t="s">
        <v>124</v>
      </c>
      <c r="Y308" s="3" t="s">
        <v>363</v>
      </c>
      <c r="Z308" s="3">
        <v>0</v>
      </c>
      <c r="AA308" s="3">
        <v>6</v>
      </c>
      <c r="AB308" s="11" t="s">
        <v>398</v>
      </c>
    </row>
    <row r="309" spans="1:28">
      <c r="A309" s="3" t="s">
        <v>374</v>
      </c>
      <c r="B309" s="3" t="s">
        <v>394</v>
      </c>
      <c r="C309" s="3">
        <v>7</v>
      </c>
      <c r="D309" s="3" t="s">
        <v>197</v>
      </c>
      <c r="E309" s="3">
        <v>4.3</v>
      </c>
      <c r="F309" s="3">
        <v>2014</v>
      </c>
      <c r="G309" s="3">
        <v>60.687570000000001</v>
      </c>
      <c r="H309" s="3">
        <v>5</v>
      </c>
      <c r="I309" s="4">
        <f t="shared" si="47"/>
        <v>12.29378993689496</v>
      </c>
      <c r="J309" s="4">
        <v>5.4979499999999959</v>
      </c>
      <c r="K309" s="4">
        <v>67.770849999999996</v>
      </c>
      <c r="L309" s="3">
        <v>5</v>
      </c>
      <c r="M309" s="4">
        <f t="shared" si="48"/>
        <v>17.19972307952952</v>
      </c>
      <c r="N309" s="4">
        <v>7.6919500000000056</v>
      </c>
      <c r="O309" s="4">
        <f t="shared" si="45"/>
        <v>0.11039326199133699</v>
      </c>
      <c r="P309" s="4">
        <f t="shared" si="46"/>
        <v>2.1089444472940918E-2</v>
      </c>
      <c r="Q309" s="3" t="s">
        <v>295</v>
      </c>
      <c r="R309" s="3" t="s">
        <v>242</v>
      </c>
      <c r="S309" s="3" t="s">
        <v>222</v>
      </c>
      <c r="T309" s="3" t="s">
        <v>8</v>
      </c>
      <c r="U309" s="3" t="s">
        <v>165</v>
      </c>
      <c r="V309" s="3" t="s">
        <v>332</v>
      </c>
      <c r="W309" s="3" t="s">
        <v>329</v>
      </c>
      <c r="X309" s="3" t="s">
        <v>100</v>
      </c>
      <c r="Y309" s="3" t="s">
        <v>363</v>
      </c>
      <c r="Z309" s="3">
        <v>0</v>
      </c>
      <c r="AA309" s="3">
        <v>6</v>
      </c>
      <c r="AB309" s="11" t="s">
        <v>398</v>
      </c>
    </row>
    <row r="310" spans="1:28">
      <c r="A310" s="3" t="s">
        <v>374</v>
      </c>
      <c r="B310" s="3" t="s">
        <v>394</v>
      </c>
      <c r="C310" s="3">
        <v>8</v>
      </c>
      <c r="D310" s="3" t="s">
        <v>197</v>
      </c>
      <c r="E310" s="3">
        <v>4.3</v>
      </c>
      <c r="F310" s="3">
        <v>2014</v>
      </c>
      <c r="G310" s="3">
        <v>60.687570000000001</v>
      </c>
      <c r="H310" s="3">
        <v>5</v>
      </c>
      <c r="I310" s="4">
        <f t="shared" si="47"/>
        <v>12.29378993689496</v>
      </c>
      <c r="J310" s="4">
        <v>5.4979499999999959</v>
      </c>
      <c r="K310" s="4">
        <v>55.336829999999999</v>
      </c>
      <c r="L310" s="3">
        <v>5</v>
      </c>
      <c r="M310" s="4">
        <f t="shared" si="48"/>
        <v>11.946841629506103</v>
      </c>
      <c r="N310" s="4">
        <v>5.3427900000000008</v>
      </c>
      <c r="O310" s="4">
        <f t="shared" si="45"/>
        <v>-9.2300209037991104E-2</v>
      </c>
      <c r="P310" s="4">
        <f t="shared" si="46"/>
        <v>1.7529302416956369E-2</v>
      </c>
      <c r="Q310" s="3" t="s">
        <v>295</v>
      </c>
      <c r="R310" s="3" t="s">
        <v>242</v>
      </c>
      <c r="S310" s="3" t="s">
        <v>222</v>
      </c>
      <c r="T310" s="3" t="s">
        <v>8</v>
      </c>
      <c r="U310" s="3" t="s">
        <v>165</v>
      </c>
      <c r="V310" s="3" t="s">
        <v>332</v>
      </c>
      <c r="W310" s="3" t="s">
        <v>329</v>
      </c>
      <c r="X310" s="3" t="s">
        <v>124</v>
      </c>
      <c r="Y310" s="3" t="s">
        <v>363</v>
      </c>
      <c r="Z310" s="3">
        <v>0</v>
      </c>
      <c r="AA310" s="3">
        <v>6</v>
      </c>
      <c r="AB310" s="11" t="s">
        <v>398</v>
      </c>
    </row>
    <row r="311" spans="1:28">
      <c r="A311" s="3" t="s">
        <v>374</v>
      </c>
      <c r="B311" s="3" t="s">
        <v>394</v>
      </c>
      <c r="C311" s="3">
        <v>9</v>
      </c>
      <c r="D311" s="3" t="s">
        <v>197</v>
      </c>
      <c r="E311" s="3">
        <v>4.3</v>
      </c>
      <c r="F311" s="3">
        <v>2014</v>
      </c>
      <c r="G311" s="3">
        <v>35.704149999999998</v>
      </c>
      <c r="H311" s="3">
        <v>5</v>
      </c>
      <c r="I311" s="4">
        <f t="shared" si="47"/>
        <v>10.510212675322041</v>
      </c>
      <c r="J311" s="4">
        <v>4.7003100000000018</v>
      </c>
      <c r="K311" s="4">
        <v>36.322769999999998</v>
      </c>
      <c r="L311" s="3">
        <v>5</v>
      </c>
      <c r="M311" s="4">
        <f t="shared" si="48"/>
        <v>17.524422510542262</v>
      </c>
      <c r="N311" s="4">
        <v>7.8371600000000043</v>
      </c>
      <c r="O311" s="4">
        <f t="shared" si="45"/>
        <v>1.7177888816681048E-2</v>
      </c>
      <c r="P311" s="4">
        <f t="shared" si="46"/>
        <v>6.3884948433025238E-2</v>
      </c>
      <c r="Q311" s="3" t="s">
        <v>295</v>
      </c>
      <c r="R311" s="3" t="s">
        <v>242</v>
      </c>
      <c r="S311" s="3" t="s">
        <v>222</v>
      </c>
      <c r="T311" s="3" t="s">
        <v>8</v>
      </c>
      <c r="U311" s="3" t="s">
        <v>165</v>
      </c>
      <c r="V311" s="3" t="s">
        <v>332</v>
      </c>
      <c r="W311" s="3" t="s">
        <v>329</v>
      </c>
      <c r="X311" s="3" t="s">
        <v>100</v>
      </c>
      <c r="Y311" s="3" t="s">
        <v>363</v>
      </c>
      <c r="Z311" s="3">
        <v>0</v>
      </c>
      <c r="AA311" s="3">
        <v>6</v>
      </c>
      <c r="AB311" s="11" t="s">
        <v>398</v>
      </c>
    </row>
    <row r="312" spans="1:28">
      <c r="A312" s="3" t="s">
        <v>374</v>
      </c>
      <c r="B312" s="3" t="s">
        <v>394</v>
      </c>
      <c r="C312" s="3">
        <v>10</v>
      </c>
      <c r="D312" s="3" t="s">
        <v>197</v>
      </c>
      <c r="E312" s="3">
        <v>4.3</v>
      </c>
      <c r="F312" s="3">
        <v>2014</v>
      </c>
      <c r="G312" s="3">
        <v>35.704149999999998</v>
      </c>
      <c r="H312" s="3">
        <v>5</v>
      </c>
      <c r="I312" s="4">
        <f t="shared" si="47"/>
        <v>10.510212675322041</v>
      </c>
      <c r="J312" s="4">
        <v>4.7003100000000018</v>
      </c>
      <c r="K312" s="4">
        <v>28.80387</v>
      </c>
      <c r="L312" s="3">
        <v>5</v>
      </c>
      <c r="M312" s="4">
        <f t="shared" si="48"/>
        <v>9.4872115756158877</v>
      </c>
      <c r="N312" s="4">
        <v>4.2428100000000022</v>
      </c>
      <c r="O312" s="4">
        <f t="shared" si="45"/>
        <v>-0.21475717541370357</v>
      </c>
      <c r="P312" s="4">
        <f t="shared" si="46"/>
        <v>3.9027969627922647E-2</v>
      </c>
      <c r="Q312" s="3" t="s">
        <v>295</v>
      </c>
      <c r="R312" s="3" t="s">
        <v>242</v>
      </c>
      <c r="S312" s="3" t="s">
        <v>222</v>
      </c>
      <c r="T312" s="3" t="s">
        <v>8</v>
      </c>
      <c r="U312" s="3" t="s">
        <v>165</v>
      </c>
      <c r="V312" s="3" t="s">
        <v>332</v>
      </c>
      <c r="W312" s="3" t="s">
        <v>329</v>
      </c>
      <c r="X312" s="3" t="s">
        <v>124</v>
      </c>
      <c r="Y312" s="3" t="s">
        <v>363</v>
      </c>
      <c r="Z312" s="3">
        <v>0</v>
      </c>
      <c r="AA312" s="3">
        <v>6</v>
      </c>
      <c r="AB312" s="11" t="s">
        <v>398</v>
      </c>
    </row>
    <row r="313" spans="1:28">
      <c r="A313" s="3" t="s">
        <v>375</v>
      </c>
      <c r="B313" s="3" t="s">
        <v>198</v>
      </c>
      <c r="C313" s="3">
        <v>1</v>
      </c>
      <c r="D313" s="3" t="s">
        <v>35</v>
      </c>
      <c r="E313" s="3">
        <v>5.7</v>
      </c>
      <c r="F313" s="3">
        <v>2020</v>
      </c>
      <c r="G313" s="4">
        <v>6.3441400000000003</v>
      </c>
      <c r="H313" s="3">
        <v>31</v>
      </c>
      <c r="I313" s="4">
        <f t="shared" si="47"/>
        <v>2.8054294294991631</v>
      </c>
      <c r="J313" s="4">
        <v>0.50387000000000004</v>
      </c>
      <c r="K313" s="4">
        <v>7.6837400000000002</v>
      </c>
      <c r="L313" s="3">
        <v>31</v>
      </c>
      <c r="M313" s="4">
        <f t="shared" si="48"/>
        <v>3.1662205602105433</v>
      </c>
      <c r="N313" s="4">
        <v>0.56866999999999912</v>
      </c>
      <c r="O313" s="4">
        <f t="shared" si="45"/>
        <v>0.19157485560548596</v>
      </c>
      <c r="P313" s="4">
        <f t="shared" si="46"/>
        <v>1.1785407924085009E-2</v>
      </c>
      <c r="Q313" s="3" t="s">
        <v>298</v>
      </c>
      <c r="R313" s="3" t="s">
        <v>177</v>
      </c>
      <c r="S313" s="3" t="s">
        <v>221</v>
      </c>
      <c r="T313" s="3" t="s">
        <v>8</v>
      </c>
      <c r="U313" s="3" t="s">
        <v>335</v>
      </c>
      <c r="V313" s="3" t="s">
        <v>332</v>
      </c>
      <c r="W313" s="3" t="s">
        <v>112</v>
      </c>
      <c r="X313" s="3" t="s">
        <v>98</v>
      </c>
      <c r="Y313" s="3" t="s">
        <v>363</v>
      </c>
      <c r="Z313" s="3">
        <v>13</v>
      </c>
      <c r="AA313" s="3">
        <v>0</v>
      </c>
      <c r="AB313" s="11" t="s">
        <v>397</v>
      </c>
    </row>
    <row r="314" spans="1:28">
      <c r="A314" s="3" t="s">
        <v>375</v>
      </c>
      <c r="B314" s="3" t="s">
        <v>198</v>
      </c>
      <c r="C314" s="3">
        <v>2</v>
      </c>
      <c r="D314" s="3" t="s">
        <v>35</v>
      </c>
      <c r="E314" s="3">
        <v>5.7</v>
      </c>
      <c r="F314" s="3">
        <v>2020</v>
      </c>
      <c r="G314" s="4">
        <v>8.6456900000000001</v>
      </c>
      <c r="H314" s="3">
        <v>31</v>
      </c>
      <c r="I314" s="4">
        <f t="shared" si="47"/>
        <v>3.7517266606057569</v>
      </c>
      <c r="J314" s="4">
        <v>0.6738300000000006</v>
      </c>
      <c r="K314" s="4">
        <v>10.330970000000001</v>
      </c>
      <c r="L314" s="3">
        <v>31</v>
      </c>
      <c r="M314" s="4">
        <f t="shared" si="48"/>
        <v>3.9091273591429565</v>
      </c>
      <c r="N314" s="4">
        <v>0.70209999999999972</v>
      </c>
      <c r="O314" s="4">
        <f t="shared" si="45"/>
        <v>0.17808524910943782</v>
      </c>
      <c r="P314" s="4">
        <f t="shared" si="46"/>
        <v>1.0693029103453386E-2</v>
      </c>
      <c r="Q314" s="3" t="s">
        <v>298</v>
      </c>
      <c r="R314" s="3" t="s">
        <v>177</v>
      </c>
      <c r="S314" s="3" t="s">
        <v>221</v>
      </c>
      <c r="T314" s="3" t="s">
        <v>8</v>
      </c>
      <c r="U314" s="3" t="s">
        <v>335</v>
      </c>
      <c r="V314" s="3" t="s">
        <v>332</v>
      </c>
      <c r="W314" s="3" t="s">
        <v>112</v>
      </c>
      <c r="X314" s="3" t="s">
        <v>98</v>
      </c>
      <c r="Y314" s="3" t="s">
        <v>363</v>
      </c>
      <c r="Z314" s="3">
        <v>13</v>
      </c>
      <c r="AA314" s="3">
        <v>0</v>
      </c>
      <c r="AB314" s="11" t="s">
        <v>397</v>
      </c>
    </row>
    <row r="315" spans="1:28">
      <c r="A315" s="3" t="s">
        <v>375</v>
      </c>
      <c r="B315" s="3" t="s">
        <v>198</v>
      </c>
      <c r="C315" s="3">
        <v>3</v>
      </c>
      <c r="D315" s="3" t="s">
        <v>35</v>
      </c>
      <c r="E315" s="3">
        <v>5.7</v>
      </c>
      <c r="F315" s="3">
        <v>2020</v>
      </c>
      <c r="G315" s="4">
        <v>9.6420499999999993</v>
      </c>
      <c r="H315" s="3">
        <v>31</v>
      </c>
      <c r="I315" s="4">
        <f t="shared" si="47"/>
        <v>4.0327317279977919</v>
      </c>
      <c r="J315" s="4">
        <v>0.72430000000000128</v>
      </c>
      <c r="K315" s="4">
        <v>12.29979</v>
      </c>
      <c r="L315" s="3">
        <v>31</v>
      </c>
      <c r="M315" s="4">
        <f t="shared" si="48"/>
        <v>4.1788298648784492</v>
      </c>
      <c r="N315" s="4">
        <v>0.75054000000000087</v>
      </c>
      <c r="O315" s="4">
        <f t="shared" si="45"/>
        <v>0.24344844744577523</v>
      </c>
      <c r="P315" s="4">
        <f t="shared" si="46"/>
        <v>9.3663541923160697E-3</v>
      </c>
      <c r="Q315" s="3" t="s">
        <v>298</v>
      </c>
      <c r="R315" s="3" t="s">
        <v>177</v>
      </c>
      <c r="S315" s="3" t="s">
        <v>221</v>
      </c>
      <c r="T315" s="3" t="s">
        <v>8</v>
      </c>
      <c r="U315" s="3" t="s">
        <v>335</v>
      </c>
      <c r="V315" s="3" t="s">
        <v>332</v>
      </c>
      <c r="W315" s="3" t="s">
        <v>112</v>
      </c>
      <c r="X315" s="3" t="s">
        <v>98</v>
      </c>
      <c r="Y315" s="3" t="s">
        <v>363</v>
      </c>
      <c r="Z315" s="3">
        <v>13</v>
      </c>
      <c r="AA315" s="3">
        <v>0</v>
      </c>
      <c r="AB315" s="11" t="s">
        <v>397</v>
      </c>
    </row>
    <row r="316" spans="1:28">
      <c r="A316" s="3" t="s">
        <v>376</v>
      </c>
      <c r="B316" s="3" t="s">
        <v>201</v>
      </c>
      <c r="C316" s="3">
        <v>1</v>
      </c>
      <c r="D316" s="3" t="s">
        <v>21</v>
      </c>
      <c r="E316" s="3">
        <v>6.1</v>
      </c>
      <c r="F316" s="3">
        <v>2011</v>
      </c>
      <c r="G316" s="4">
        <v>17.8569</v>
      </c>
      <c r="H316" s="3">
        <v>33</v>
      </c>
      <c r="I316" s="4">
        <f t="shared" si="47"/>
        <v>6.7240105777727655</v>
      </c>
      <c r="J316" s="4">
        <v>1.1705000000000005</v>
      </c>
      <c r="K316" s="4">
        <v>26.065750000000001</v>
      </c>
      <c r="L316" s="3">
        <v>33</v>
      </c>
      <c r="M316" s="4">
        <f t="shared" si="48"/>
        <v>5.5450539858237642</v>
      </c>
      <c r="N316" s="4">
        <v>0.96527000000000029</v>
      </c>
      <c r="O316" s="4">
        <f t="shared" si="45"/>
        <v>0.37823220386989287</v>
      </c>
      <c r="P316" s="4">
        <f t="shared" si="46"/>
        <v>5.668035135433242E-3</v>
      </c>
      <c r="Q316" s="3" t="s">
        <v>287</v>
      </c>
      <c r="R316" s="3" t="s">
        <v>199</v>
      </c>
      <c r="S316" s="3" t="s">
        <v>221</v>
      </c>
      <c r="T316" s="3" t="s">
        <v>8</v>
      </c>
      <c r="U316" s="3" t="s">
        <v>335</v>
      </c>
      <c r="V316" s="3" t="s">
        <v>332</v>
      </c>
      <c r="W316" s="3" t="s">
        <v>329</v>
      </c>
      <c r="X316" s="3" t="s">
        <v>100</v>
      </c>
      <c r="Y316" s="3" t="s">
        <v>363</v>
      </c>
      <c r="Z316" s="3">
        <v>0</v>
      </c>
      <c r="AA316" s="3">
        <v>14</v>
      </c>
      <c r="AB316" s="11" t="s">
        <v>397</v>
      </c>
    </row>
    <row r="317" spans="1:28">
      <c r="A317" s="3" t="s">
        <v>376</v>
      </c>
      <c r="B317" s="3" t="s">
        <v>200</v>
      </c>
      <c r="C317" s="3">
        <v>2</v>
      </c>
      <c r="D317" s="3" t="s">
        <v>21</v>
      </c>
      <c r="E317" s="3">
        <v>6.1</v>
      </c>
      <c r="F317" s="3">
        <v>2011</v>
      </c>
      <c r="G317" s="4">
        <v>4.1062200000000004</v>
      </c>
      <c r="H317" s="3">
        <v>33</v>
      </c>
      <c r="I317" s="4">
        <f t="shared" si="47"/>
        <v>7.1032666036972012</v>
      </c>
      <c r="J317" s="4">
        <v>1.2365199999999996</v>
      </c>
      <c r="K317" s="4">
        <v>7.2026399999999997</v>
      </c>
      <c r="L317" s="3">
        <v>33</v>
      </c>
      <c r="M317" s="4">
        <f t="shared" si="48"/>
        <v>6.3535437326975268</v>
      </c>
      <c r="N317" s="4">
        <v>1.1060100000000004</v>
      </c>
      <c r="O317" s="4">
        <f t="shared" si="45"/>
        <v>0.56194472819485941</v>
      </c>
      <c r="P317" s="4">
        <f t="shared" si="46"/>
        <v>0.11426083144810023</v>
      </c>
      <c r="Q317" s="3" t="s">
        <v>287</v>
      </c>
      <c r="R317" s="3" t="s">
        <v>199</v>
      </c>
      <c r="S317" s="3" t="s">
        <v>221</v>
      </c>
      <c r="T317" s="3" t="s">
        <v>8</v>
      </c>
      <c r="U317" s="3" t="s">
        <v>335</v>
      </c>
      <c r="V317" s="3" t="s">
        <v>332</v>
      </c>
      <c r="W317" s="3" t="s">
        <v>329</v>
      </c>
      <c r="X317" s="3" t="s">
        <v>100</v>
      </c>
      <c r="Y317" s="3" t="s">
        <v>363</v>
      </c>
      <c r="Z317" s="3">
        <v>0</v>
      </c>
      <c r="AA317" s="3">
        <v>14</v>
      </c>
      <c r="AB317" s="11" t="s">
        <v>397</v>
      </c>
    </row>
    <row r="318" spans="1:28">
      <c r="A318" s="3" t="s">
        <v>202</v>
      </c>
      <c r="B318" s="3" t="s">
        <v>272</v>
      </c>
      <c r="C318" s="3">
        <v>1</v>
      </c>
      <c r="D318" s="3" t="s">
        <v>273</v>
      </c>
      <c r="E318" s="3">
        <v>2.1</v>
      </c>
      <c r="F318" s="3">
        <v>1999</v>
      </c>
      <c r="G318" s="3">
        <v>2.4252400000000001</v>
      </c>
      <c r="H318" s="3">
        <v>10</v>
      </c>
      <c r="I318" s="4">
        <f t="shared" si="47"/>
        <v>0.90997701949005294</v>
      </c>
      <c r="J318" s="4">
        <v>0.28776000000000002</v>
      </c>
      <c r="K318" s="4">
        <v>4.4014600000000002</v>
      </c>
      <c r="L318" s="3">
        <v>10</v>
      </c>
      <c r="M318" s="4">
        <f t="shared" si="48"/>
        <v>1.3989283913052877</v>
      </c>
      <c r="N318" s="4">
        <v>0.44238</v>
      </c>
      <c r="O318" s="4">
        <f t="shared" si="45"/>
        <v>0.59600581550205978</v>
      </c>
      <c r="P318" s="4">
        <f t="shared" si="46"/>
        <v>2.4180107931547071E-2</v>
      </c>
      <c r="Q318" s="3" t="s">
        <v>320</v>
      </c>
      <c r="R318" s="3" t="s">
        <v>285</v>
      </c>
      <c r="S318" s="3" t="s">
        <v>222</v>
      </c>
      <c r="T318" s="3" t="s">
        <v>97</v>
      </c>
      <c r="U318" s="3" t="s">
        <v>335</v>
      </c>
      <c r="V318" s="3" t="s">
        <v>332</v>
      </c>
      <c r="W318" s="3" t="s">
        <v>360</v>
      </c>
      <c r="X318" s="3" t="s">
        <v>167</v>
      </c>
      <c r="Y318" s="3" t="s">
        <v>363</v>
      </c>
      <c r="Z318" s="3">
        <v>2</v>
      </c>
      <c r="AA318" s="3">
        <v>0</v>
      </c>
      <c r="AB318" s="11" t="s">
        <v>398</v>
      </c>
    </row>
    <row r="319" spans="1:28">
      <c r="A319" s="3" t="s">
        <v>205</v>
      </c>
      <c r="B319" s="3" t="s">
        <v>204</v>
      </c>
      <c r="C319" s="3">
        <v>1</v>
      </c>
      <c r="D319" s="3" t="s">
        <v>207</v>
      </c>
      <c r="E319" s="3">
        <v>4.5999999999999996</v>
      </c>
      <c r="F319" s="3">
        <v>2020</v>
      </c>
      <c r="G319" s="4">
        <v>5.6429799999999997</v>
      </c>
      <c r="H319" s="3">
        <v>30</v>
      </c>
      <c r="I319" s="4">
        <f t="shared" si="47"/>
        <v>1.4967614328943681</v>
      </c>
      <c r="J319" s="4">
        <v>0.27327000000000012</v>
      </c>
      <c r="K319" s="4">
        <v>6.0716900000000003</v>
      </c>
      <c r="L319" s="3">
        <v>30</v>
      </c>
      <c r="M319" s="4">
        <f t="shared" si="48"/>
        <v>1.8271476795814841</v>
      </c>
      <c r="N319" s="4">
        <v>0.33359000000000005</v>
      </c>
      <c r="O319" s="4">
        <f t="shared" si="45"/>
        <v>7.322469000493112E-2</v>
      </c>
      <c r="P319" s="4">
        <f t="shared" si="46"/>
        <v>5.3637388641479362E-3</v>
      </c>
      <c r="Q319" s="3" t="s">
        <v>289</v>
      </c>
      <c r="R319" s="3" t="s">
        <v>96</v>
      </c>
      <c r="S319" s="3" t="s">
        <v>221</v>
      </c>
      <c r="T319" s="3" t="s">
        <v>97</v>
      </c>
      <c r="U319" s="3" t="s">
        <v>335</v>
      </c>
      <c r="V319" s="3" t="s">
        <v>165</v>
      </c>
      <c r="W319" s="3" t="s">
        <v>112</v>
      </c>
      <c r="X319" s="3" t="s">
        <v>98</v>
      </c>
      <c r="Y319" s="3" t="s">
        <v>363</v>
      </c>
      <c r="Z319" s="3">
        <v>56</v>
      </c>
      <c r="AA319" s="3">
        <v>0</v>
      </c>
      <c r="AB319" s="11" t="s">
        <v>397</v>
      </c>
    </row>
    <row r="320" spans="1:28">
      <c r="A320" s="3" t="s">
        <v>205</v>
      </c>
      <c r="B320" s="3" t="s">
        <v>204</v>
      </c>
      <c r="C320" s="3">
        <v>2</v>
      </c>
      <c r="D320" s="3" t="s">
        <v>206</v>
      </c>
      <c r="E320" s="3">
        <v>4.5999999999999996</v>
      </c>
      <c r="F320" s="3">
        <v>2020</v>
      </c>
      <c r="G320" s="4">
        <v>5.6429799999999997</v>
      </c>
      <c r="H320" s="3">
        <v>30</v>
      </c>
      <c r="I320" s="4">
        <f t="shared" si="47"/>
        <v>1.4967614328943681</v>
      </c>
      <c r="J320" s="4">
        <v>0.27327000000000012</v>
      </c>
      <c r="K320" s="4">
        <v>7.3391400000000004</v>
      </c>
      <c r="L320" s="3">
        <v>30</v>
      </c>
      <c r="M320" s="4">
        <f t="shared" si="48"/>
        <v>1.8511926998559602</v>
      </c>
      <c r="N320" s="4">
        <v>0.33797999999999995</v>
      </c>
      <c r="O320" s="4">
        <f t="shared" ref="O320:O383" si="51">LN(K320/G320)</f>
        <v>0.26280937478274163</v>
      </c>
      <c r="P320" s="4">
        <f t="shared" si="46"/>
        <v>4.4658904931364259E-3</v>
      </c>
      <c r="Q320" s="3" t="s">
        <v>289</v>
      </c>
      <c r="R320" s="3" t="s">
        <v>96</v>
      </c>
      <c r="S320" s="3" t="s">
        <v>221</v>
      </c>
      <c r="T320" s="3" t="s">
        <v>97</v>
      </c>
      <c r="U320" s="3" t="s">
        <v>335</v>
      </c>
      <c r="V320" s="3" t="s">
        <v>165</v>
      </c>
      <c r="W320" s="3" t="s">
        <v>112</v>
      </c>
      <c r="X320" s="3" t="s">
        <v>99</v>
      </c>
      <c r="Y320" s="3" t="s">
        <v>363</v>
      </c>
      <c r="Z320" s="3">
        <v>56</v>
      </c>
      <c r="AA320" s="3">
        <v>0</v>
      </c>
      <c r="AB320" s="11" t="s">
        <v>397</v>
      </c>
    </row>
    <row r="321" spans="1:28">
      <c r="A321" s="3" t="s">
        <v>205</v>
      </c>
      <c r="B321" s="3" t="s">
        <v>204</v>
      </c>
      <c r="C321" s="3">
        <v>3</v>
      </c>
      <c r="D321" s="3" t="s">
        <v>206</v>
      </c>
      <c r="E321" s="3">
        <v>4.5999999999999996</v>
      </c>
      <c r="F321" s="3">
        <v>2020</v>
      </c>
      <c r="G321" s="3">
        <v>6.8176800000000002</v>
      </c>
      <c r="H321" s="3">
        <v>30</v>
      </c>
      <c r="I321" s="4">
        <f t="shared" si="47"/>
        <v>1.6941058703634759</v>
      </c>
      <c r="J321" s="4">
        <v>0.30929999999999946</v>
      </c>
      <c r="K321" s="4">
        <v>8.68431</v>
      </c>
      <c r="L321" s="3">
        <v>30</v>
      </c>
      <c r="M321" s="4">
        <f t="shared" si="48"/>
        <v>2.1061027781188657</v>
      </c>
      <c r="N321" s="4">
        <v>0.38452000000000019</v>
      </c>
      <c r="O321" s="4">
        <f t="shared" si="51"/>
        <v>0.24199871118466479</v>
      </c>
      <c r="P321" s="4">
        <f t="shared" si="46"/>
        <v>4.0186971886854665E-3</v>
      </c>
      <c r="Q321" s="3" t="s">
        <v>289</v>
      </c>
      <c r="R321" s="3" t="s">
        <v>96</v>
      </c>
      <c r="S321" s="3" t="s">
        <v>221</v>
      </c>
      <c r="T321" s="3" t="s">
        <v>97</v>
      </c>
      <c r="U321" s="3" t="s">
        <v>335</v>
      </c>
      <c r="V321" s="3" t="s">
        <v>165</v>
      </c>
      <c r="W321" s="3" t="s">
        <v>112</v>
      </c>
      <c r="X321" s="3" t="s">
        <v>98</v>
      </c>
      <c r="Y321" s="3" t="s">
        <v>363</v>
      </c>
      <c r="Z321" s="3">
        <v>56</v>
      </c>
      <c r="AA321" s="3">
        <v>0</v>
      </c>
      <c r="AB321" s="11" t="s">
        <v>397</v>
      </c>
    </row>
    <row r="322" spans="1:28">
      <c r="A322" s="3" t="s">
        <v>205</v>
      </c>
      <c r="B322" s="3" t="s">
        <v>204</v>
      </c>
      <c r="C322" s="3">
        <v>4</v>
      </c>
      <c r="D322" s="3" t="s">
        <v>206</v>
      </c>
      <c r="E322" s="3">
        <v>4.5999999999999996</v>
      </c>
      <c r="F322" s="3">
        <v>2020</v>
      </c>
      <c r="G322" s="3">
        <v>6.8176800000000002</v>
      </c>
      <c r="H322" s="3">
        <v>30</v>
      </c>
      <c r="I322" s="4">
        <f t="shared" si="47"/>
        <v>1.6941058703634759</v>
      </c>
      <c r="J322" s="4">
        <v>0.30929999999999946</v>
      </c>
      <c r="K322" s="4">
        <v>6.7183400000000004</v>
      </c>
      <c r="L322" s="3">
        <v>30</v>
      </c>
      <c r="M322" s="4">
        <f t="shared" si="48"/>
        <v>2.1729797023902444</v>
      </c>
      <c r="N322" s="4">
        <v>0.39672999999999981</v>
      </c>
      <c r="O322" s="4">
        <f t="shared" si="51"/>
        <v>-1.4678137819199301E-2</v>
      </c>
      <c r="P322" s="4">
        <f t="shared" ref="P322:P385" si="52">(M322^2)/(L322*(K322^2)) + (I322^2)/(H322*(G322^2))</f>
        <v>5.5453093037005951E-3</v>
      </c>
      <c r="Q322" s="3" t="s">
        <v>289</v>
      </c>
      <c r="R322" s="3" t="s">
        <v>96</v>
      </c>
      <c r="S322" s="3" t="s">
        <v>221</v>
      </c>
      <c r="T322" s="3" t="s">
        <v>97</v>
      </c>
      <c r="U322" s="3" t="s">
        <v>335</v>
      </c>
      <c r="V322" s="3" t="s">
        <v>165</v>
      </c>
      <c r="W322" s="3" t="s">
        <v>112</v>
      </c>
      <c r="X322" s="3" t="s">
        <v>99</v>
      </c>
      <c r="Y322" s="3" t="s">
        <v>363</v>
      </c>
      <c r="Z322" s="3">
        <v>56</v>
      </c>
      <c r="AA322" s="3">
        <v>0</v>
      </c>
      <c r="AB322" s="11" t="s">
        <v>397</v>
      </c>
    </row>
    <row r="323" spans="1:28">
      <c r="A323" s="3" t="s">
        <v>208</v>
      </c>
      <c r="B323" s="3" t="s">
        <v>209</v>
      </c>
      <c r="C323" s="3">
        <v>5</v>
      </c>
      <c r="D323" s="3" t="s">
        <v>40</v>
      </c>
      <c r="E323" s="3">
        <v>2.8</v>
      </c>
      <c r="F323" s="3">
        <v>2016</v>
      </c>
      <c r="G323" s="4">
        <v>2.6445799999999999</v>
      </c>
      <c r="H323" s="3">
        <v>57</v>
      </c>
      <c r="I323" s="4">
        <f t="shared" si="47"/>
        <v>0.86513552793767667</v>
      </c>
      <c r="J323" s="4">
        <v>0.11459000000000019</v>
      </c>
      <c r="K323" s="4">
        <v>3.35426</v>
      </c>
      <c r="L323" s="3">
        <v>57</v>
      </c>
      <c r="M323" s="4">
        <f t="shared" si="48"/>
        <v>0.63290262070874581</v>
      </c>
      <c r="N323" s="4">
        <v>8.3829999999999849E-2</v>
      </c>
      <c r="O323" s="4">
        <f t="shared" si="51"/>
        <v>0.23771891724475372</v>
      </c>
      <c r="P323" s="4">
        <f t="shared" si="52"/>
        <v>2.5021053656111799E-3</v>
      </c>
      <c r="Q323" s="3" t="s">
        <v>289</v>
      </c>
      <c r="R323" s="3" t="s">
        <v>96</v>
      </c>
      <c r="S323" s="3" t="s">
        <v>221</v>
      </c>
      <c r="T323" s="3" t="s">
        <v>97</v>
      </c>
      <c r="U323" s="3" t="s">
        <v>335</v>
      </c>
      <c r="V323" s="3" t="s">
        <v>165</v>
      </c>
      <c r="W323" s="3" t="s">
        <v>112</v>
      </c>
      <c r="X323" s="3" t="s">
        <v>99</v>
      </c>
      <c r="Y323" s="3" t="s">
        <v>363</v>
      </c>
      <c r="Z323" s="3" t="s">
        <v>363</v>
      </c>
      <c r="AA323" s="3" t="s">
        <v>363</v>
      </c>
      <c r="AB323" s="11" t="s">
        <v>397</v>
      </c>
    </row>
    <row r="324" spans="1:28">
      <c r="A324" s="3" t="s">
        <v>390</v>
      </c>
      <c r="B324" s="3" t="s">
        <v>211</v>
      </c>
      <c r="C324" s="3">
        <v>1</v>
      </c>
      <c r="D324" s="3" t="s">
        <v>212</v>
      </c>
      <c r="E324" s="3">
        <v>1.4</v>
      </c>
      <c r="F324" s="3">
        <v>2011</v>
      </c>
      <c r="G324" s="4">
        <v>3.78457</v>
      </c>
      <c r="H324" s="3">
        <v>5</v>
      </c>
      <c r="I324" s="4">
        <f t="shared" si="47"/>
        <v>0.22532857009265339</v>
      </c>
      <c r="J324" s="4">
        <v>0.1007699999999998</v>
      </c>
      <c r="K324" s="4">
        <v>3.1445099999999999</v>
      </c>
      <c r="L324" s="3">
        <v>5</v>
      </c>
      <c r="M324" s="4">
        <f t="shared" ref="M324:M355" si="53" xml:space="preserve"> N324 * SQRT(L324)</f>
        <v>0.43516118910123397</v>
      </c>
      <c r="N324" s="4">
        <v>0.19460999999999995</v>
      </c>
      <c r="O324" s="4">
        <f t="shared" si="51"/>
        <v>-0.18527419894271205</v>
      </c>
      <c r="P324" s="4">
        <f t="shared" si="52"/>
        <v>4.5391980836083801E-3</v>
      </c>
      <c r="Q324" s="3" t="s">
        <v>291</v>
      </c>
      <c r="R324" s="3" t="s">
        <v>213</v>
      </c>
      <c r="S324" s="3" t="s">
        <v>221</v>
      </c>
      <c r="T324" s="3" t="s">
        <v>97</v>
      </c>
      <c r="U324" s="3" t="s">
        <v>165</v>
      </c>
      <c r="V324" s="3" t="s">
        <v>332</v>
      </c>
      <c r="W324" s="3" t="s">
        <v>329</v>
      </c>
      <c r="X324" s="3" t="s">
        <v>100</v>
      </c>
      <c r="Y324" s="3" t="s">
        <v>363</v>
      </c>
      <c r="Z324" s="3">
        <v>0</v>
      </c>
      <c r="AA324" s="3">
        <v>14</v>
      </c>
      <c r="AB324" s="11" t="s">
        <v>397</v>
      </c>
    </row>
    <row r="325" spans="1:28">
      <c r="A325" s="3" t="s">
        <v>390</v>
      </c>
      <c r="B325" s="3" t="s">
        <v>210</v>
      </c>
      <c r="C325" s="3">
        <v>2</v>
      </c>
      <c r="D325" s="3" t="s">
        <v>212</v>
      </c>
      <c r="E325" s="3">
        <v>1.4</v>
      </c>
      <c r="F325" s="3">
        <v>2011</v>
      </c>
      <c r="G325" s="4">
        <v>3.78457</v>
      </c>
      <c r="H325" s="3">
        <v>5</v>
      </c>
      <c r="I325" s="4">
        <f t="shared" si="47"/>
        <v>0.22532857009265339</v>
      </c>
      <c r="J325" s="4">
        <v>0.1007699999999998</v>
      </c>
      <c r="K325" s="4">
        <v>3.6479200000000001</v>
      </c>
      <c r="L325" s="3">
        <v>5</v>
      </c>
      <c r="M325" s="4">
        <f t="shared" si="53"/>
        <v>0.85317173681504443</v>
      </c>
      <c r="N325" s="4">
        <v>0.38154999999999983</v>
      </c>
      <c r="O325" s="4">
        <f t="shared" si="51"/>
        <v>-3.6775131947842543E-2</v>
      </c>
      <c r="P325" s="4">
        <f t="shared" si="52"/>
        <v>1.164884618233436E-2</v>
      </c>
      <c r="Q325" s="3" t="s">
        <v>291</v>
      </c>
      <c r="R325" s="3" t="s">
        <v>213</v>
      </c>
      <c r="S325" s="3" t="s">
        <v>221</v>
      </c>
      <c r="T325" s="3" t="s">
        <v>97</v>
      </c>
      <c r="U325" s="3" t="s">
        <v>165</v>
      </c>
      <c r="V325" s="3" t="s">
        <v>332</v>
      </c>
      <c r="W325" s="3" t="s">
        <v>360</v>
      </c>
      <c r="X325" s="3" t="s">
        <v>214</v>
      </c>
      <c r="Y325" s="3" t="s">
        <v>363</v>
      </c>
      <c r="Z325" s="3">
        <v>0</v>
      </c>
      <c r="AA325" s="3">
        <v>14</v>
      </c>
      <c r="AB325" s="11" t="s">
        <v>397</v>
      </c>
    </row>
    <row r="326" spans="1:28">
      <c r="A326" s="3" t="s">
        <v>390</v>
      </c>
      <c r="B326" s="3" t="s">
        <v>210</v>
      </c>
      <c r="C326" s="3">
        <v>3</v>
      </c>
      <c r="D326" s="3" t="s">
        <v>212</v>
      </c>
      <c r="E326" s="3">
        <v>1.4</v>
      </c>
      <c r="F326" s="3">
        <v>2011</v>
      </c>
      <c r="G326" s="4">
        <v>5.1634399999999996</v>
      </c>
      <c r="H326" s="3">
        <v>5</v>
      </c>
      <c r="I326" s="4">
        <f t="shared" si="47"/>
        <v>0.74132361658050705</v>
      </c>
      <c r="J326" s="4">
        <v>0.33153000000000077</v>
      </c>
      <c r="K326" s="4">
        <v>5.1372499999999999</v>
      </c>
      <c r="L326" s="3">
        <v>5</v>
      </c>
      <c r="M326" s="4">
        <f t="shared" si="53"/>
        <v>1.1362579427665194</v>
      </c>
      <c r="N326" s="4">
        <v>0.50815000000000055</v>
      </c>
      <c r="O326" s="4">
        <f t="shared" si="51"/>
        <v>-5.0851071987892977E-3</v>
      </c>
      <c r="P326" s="4">
        <f t="shared" si="52"/>
        <v>1.3906699406853351E-2</v>
      </c>
      <c r="Q326" s="3" t="s">
        <v>291</v>
      </c>
      <c r="R326" s="3" t="s">
        <v>213</v>
      </c>
      <c r="S326" s="3" t="s">
        <v>221</v>
      </c>
      <c r="T326" s="3" t="s">
        <v>97</v>
      </c>
      <c r="U326" s="3" t="s">
        <v>165</v>
      </c>
      <c r="V326" s="3" t="s">
        <v>332</v>
      </c>
      <c r="W326" s="3" t="s">
        <v>329</v>
      </c>
      <c r="X326" s="3" t="s">
        <v>100</v>
      </c>
      <c r="Y326" s="3" t="s">
        <v>363</v>
      </c>
      <c r="Z326" s="3">
        <v>0</v>
      </c>
      <c r="AA326" s="3">
        <v>14</v>
      </c>
      <c r="AB326" s="11" t="s">
        <v>397</v>
      </c>
    </row>
    <row r="327" spans="1:28">
      <c r="A327" s="3" t="s">
        <v>390</v>
      </c>
      <c r="B327" s="3" t="s">
        <v>210</v>
      </c>
      <c r="C327" s="3">
        <v>4</v>
      </c>
      <c r="D327" s="3" t="s">
        <v>212</v>
      </c>
      <c r="E327" s="3">
        <v>1.4</v>
      </c>
      <c r="F327" s="3">
        <v>2011</v>
      </c>
      <c r="G327" s="4">
        <v>5.1634399999999996</v>
      </c>
      <c r="H327" s="3">
        <v>5</v>
      </c>
      <c r="I327" s="4">
        <f t="shared" si="47"/>
        <v>0.74132361658050705</v>
      </c>
      <c r="J327" s="4">
        <v>0.33153000000000077</v>
      </c>
      <c r="K327" s="4">
        <v>5.78287</v>
      </c>
      <c r="L327" s="3">
        <v>5</v>
      </c>
      <c r="M327" s="4">
        <f t="shared" si="53"/>
        <v>0.54783665448744878</v>
      </c>
      <c r="N327" s="4">
        <v>0.24500000000000011</v>
      </c>
      <c r="O327" s="4">
        <f t="shared" si="51"/>
        <v>0.11329707520495153</v>
      </c>
      <c r="P327" s="4">
        <f t="shared" si="52"/>
        <v>5.9174847970279183E-3</v>
      </c>
      <c r="Q327" s="3" t="s">
        <v>291</v>
      </c>
      <c r="R327" s="3" t="s">
        <v>213</v>
      </c>
      <c r="S327" s="3" t="s">
        <v>221</v>
      </c>
      <c r="T327" s="3" t="s">
        <v>97</v>
      </c>
      <c r="U327" s="3" t="s">
        <v>165</v>
      </c>
      <c r="V327" s="3" t="s">
        <v>332</v>
      </c>
      <c r="W327" s="3" t="s">
        <v>360</v>
      </c>
      <c r="X327" s="3" t="s">
        <v>214</v>
      </c>
      <c r="Y327" s="3" t="s">
        <v>363</v>
      </c>
      <c r="Z327" s="3">
        <v>0</v>
      </c>
      <c r="AA327" s="3">
        <v>14</v>
      </c>
      <c r="AB327" s="11" t="s">
        <v>397</v>
      </c>
    </row>
    <row r="328" spans="1:28">
      <c r="A328" s="3" t="s">
        <v>390</v>
      </c>
      <c r="B328" s="3" t="s">
        <v>210</v>
      </c>
      <c r="C328" s="3">
        <v>5</v>
      </c>
      <c r="D328" s="3" t="s">
        <v>212</v>
      </c>
      <c r="E328" s="3">
        <v>1.4</v>
      </c>
      <c r="F328" s="3">
        <v>2011</v>
      </c>
      <c r="G328" s="4">
        <v>5.2535499999999997</v>
      </c>
      <c r="H328" s="3">
        <v>5</v>
      </c>
      <c r="I328" s="4">
        <f t="shared" si="47"/>
        <v>0.70056009735068392</v>
      </c>
      <c r="J328" s="4">
        <v>0.31329999999999991</v>
      </c>
      <c r="K328" s="4">
        <v>6.3354600000000003</v>
      </c>
      <c r="L328" s="3">
        <v>5</v>
      </c>
      <c r="M328" s="4">
        <f t="shared" si="53"/>
        <v>1.0465916168687763</v>
      </c>
      <c r="N328" s="4">
        <v>0.46804999999999986</v>
      </c>
      <c r="O328" s="4">
        <f t="shared" si="51"/>
        <v>0.18725838504139763</v>
      </c>
      <c r="P328" s="4">
        <f t="shared" si="52"/>
        <v>9.0143693327974818E-3</v>
      </c>
      <c r="Q328" s="3" t="s">
        <v>291</v>
      </c>
      <c r="R328" s="3" t="s">
        <v>213</v>
      </c>
      <c r="S328" s="3" t="s">
        <v>221</v>
      </c>
      <c r="T328" s="3" t="s">
        <v>97</v>
      </c>
      <c r="U328" s="3" t="s">
        <v>165</v>
      </c>
      <c r="V328" s="3" t="s">
        <v>332</v>
      </c>
      <c r="W328" s="3" t="s">
        <v>360</v>
      </c>
      <c r="X328" s="3" t="s">
        <v>214</v>
      </c>
      <c r="Y328" s="3" t="s">
        <v>363</v>
      </c>
      <c r="Z328" s="3">
        <v>0</v>
      </c>
      <c r="AA328" s="3">
        <v>14</v>
      </c>
      <c r="AB328" s="11" t="s">
        <v>397</v>
      </c>
    </row>
    <row r="329" spans="1:28">
      <c r="A329" s="3" t="s">
        <v>389</v>
      </c>
      <c r="B329" s="3" t="s">
        <v>216</v>
      </c>
      <c r="C329" s="3">
        <v>1</v>
      </c>
      <c r="D329" s="3" t="s">
        <v>143</v>
      </c>
      <c r="E329" s="3">
        <v>3.3</v>
      </c>
      <c r="F329" s="3">
        <v>2012</v>
      </c>
      <c r="G329" s="3">
        <v>0.30808999999999997</v>
      </c>
      <c r="H329" s="3">
        <v>10</v>
      </c>
      <c r="I329" s="4">
        <f t="shared" si="47"/>
        <v>0.19315191948308469</v>
      </c>
      <c r="J329" s="4">
        <v>6.1080000000000023E-2</v>
      </c>
      <c r="K329" s="4">
        <v>0.50126000000000004</v>
      </c>
      <c r="L329" s="3">
        <v>10</v>
      </c>
      <c r="M329" s="4">
        <f t="shared" si="53"/>
        <v>5.192459917996476E-2</v>
      </c>
      <c r="N329" s="4">
        <v>1.641999999999999E-2</v>
      </c>
      <c r="O329" s="4">
        <f t="shared" si="51"/>
        <v>0.48673298046506597</v>
      </c>
      <c r="P329" s="4">
        <f t="shared" si="52"/>
        <v>4.0377602782791566E-2</v>
      </c>
      <c r="Q329" s="3" t="s">
        <v>321</v>
      </c>
      <c r="R329" s="3" t="s">
        <v>217</v>
      </c>
      <c r="S329" s="3" t="s">
        <v>222</v>
      </c>
      <c r="T329" s="3" t="s">
        <v>8</v>
      </c>
      <c r="U329" s="3" t="s">
        <v>165</v>
      </c>
      <c r="V329" s="3" t="s">
        <v>165</v>
      </c>
      <c r="W329" s="3" t="s">
        <v>339</v>
      </c>
      <c r="X329" s="3" t="s">
        <v>196</v>
      </c>
      <c r="Y329" s="3">
        <v>25</v>
      </c>
      <c r="Z329" s="3">
        <v>0</v>
      </c>
      <c r="AA329" s="3">
        <v>30</v>
      </c>
      <c r="AB329" s="11" t="s">
        <v>397</v>
      </c>
    </row>
    <row r="330" spans="1:28">
      <c r="A330" s="3" t="s">
        <v>389</v>
      </c>
      <c r="B330" s="3" t="s">
        <v>215</v>
      </c>
      <c r="C330" s="3">
        <v>2</v>
      </c>
      <c r="D330" s="3" t="s">
        <v>143</v>
      </c>
      <c r="E330" s="3">
        <v>3.3</v>
      </c>
      <c r="F330" s="3">
        <v>2012</v>
      </c>
      <c r="G330" s="3">
        <v>0.30808999999999997</v>
      </c>
      <c r="H330" s="3">
        <v>10</v>
      </c>
      <c r="I330" s="4">
        <f t="shared" si="47"/>
        <v>0.19315191948308469</v>
      </c>
      <c r="J330" s="4">
        <v>6.1080000000000023E-2</v>
      </c>
      <c r="K330" s="4">
        <v>0.63824000000000003</v>
      </c>
      <c r="L330" s="3">
        <v>10</v>
      </c>
      <c r="M330" s="4">
        <f t="shared" si="53"/>
        <v>5.8185908947098096E-2</v>
      </c>
      <c r="N330" s="4">
        <v>1.8399999999999972E-2</v>
      </c>
      <c r="O330" s="4">
        <f t="shared" si="51"/>
        <v>0.72832244007569646</v>
      </c>
      <c r="P330" s="4">
        <f t="shared" si="52"/>
        <v>4.0135679587553229E-2</v>
      </c>
      <c r="Q330" s="3" t="s">
        <v>321</v>
      </c>
      <c r="R330" s="3" t="s">
        <v>217</v>
      </c>
      <c r="S330" s="3" t="s">
        <v>222</v>
      </c>
      <c r="T330" s="3" t="s">
        <v>8</v>
      </c>
      <c r="U330" s="3" t="s">
        <v>165</v>
      </c>
      <c r="V330" s="3" t="s">
        <v>165</v>
      </c>
      <c r="W330" s="3" t="s">
        <v>339</v>
      </c>
      <c r="X330" s="3" t="s">
        <v>196</v>
      </c>
      <c r="Y330" s="3">
        <v>50</v>
      </c>
      <c r="Z330" s="3">
        <v>0</v>
      </c>
      <c r="AA330" s="3">
        <v>30</v>
      </c>
      <c r="AB330" s="11" t="s">
        <v>397</v>
      </c>
    </row>
    <row r="331" spans="1:28">
      <c r="A331" s="3" t="s">
        <v>389</v>
      </c>
      <c r="B331" s="3" t="s">
        <v>215</v>
      </c>
      <c r="C331" s="3">
        <v>3</v>
      </c>
      <c r="D331" s="3" t="s">
        <v>143</v>
      </c>
      <c r="E331" s="3">
        <v>3.3</v>
      </c>
      <c r="F331" s="3">
        <v>2012</v>
      </c>
      <c r="G331" s="4">
        <v>1.54315</v>
      </c>
      <c r="H331" s="3">
        <v>10</v>
      </c>
      <c r="I331" s="4">
        <f t="shared" si="47"/>
        <v>0.28409902498952694</v>
      </c>
      <c r="J331" s="4">
        <v>8.983999999999992E-2</v>
      </c>
      <c r="K331" s="4">
        <v>1.1195200000000001</v>
      </c>
      <c r="L331" s="3">
        <v>10</v>
      </c>
      <c r="M331" s="4">
        <f t="shared" si="53"/>
        <v>0.45726534966034715</v>
      </c>
      <c r="N331" s="4">
        <v>0.14459999999999984</v>
      </c>
      <c r="O331" s="4">
        <f t="shared" si="51"/>
        <v>-0.32092575986167338</v>
      </c>
      <c r="P331" s="4">
        <f t="shared" si="52"/>
        <v>2.0072353871664519E-2</v>
      </c>
      <c r="Q331" s="3" t="s">
        <v>321</v>
      </c>
      <c r="R331" s="3" t="s">
        <v>218</v>
      </c>
      <c r="S331" s="3" t="s">
        <v>222</v>
      </c>
      <c r="T331" s="3" t="s">
        <v>8</v>
      </c>
      <c r="U331" s="3" t="s">
        <v>165</v>
      </c>
      <c r="V331" s="3" t="s">
        <v>165</v>
      </c>
      <c r="W331" s="3" t="s">
        <v>339</v>
      </c>
      <c r="X331" s="3" t="s">
        <v>196</v>
      </c>
      <c r="Y331" s="3">
        <v>25</v>
      </c>
      <c r="Z331" s="3">
        <v>0</v>
      </c>
      <c r="AA331" s="3">
        <v>30</v>
      </c>
      <c r="AB331" s="11" t="s">
        <v>398</v>
      </c>
    </row>
    <row r="332" spans="1:28">
      <c r="A332" s="3" t="s">
        <v>389</v>
      </c>
      <c r="B332" s="3" t="s">
        <v>215</v>
      </c>
      <c r="C332" s="3">
        <v>4</v>
      </c>
      <c r="D332" s="3" t="s">
        <v>143</v>
      </c>
      <c r="E332" s="3">
        <v>3.3</v>
      </c>
      <c r="F332" s="3">
        <v>2012</v>
      </c>
      <c r="G332" s="4">
        <v>1.54315</v>
      </c>
      <c r="H332" s="3">
        <v>10</v>
      </c>
      <c r="I332" s="4">
        <f t="shared" si="47"/>
        <v>0.28409902498952694</v>
      </c>
      <c r="J332" s="4">
        <v>8.983999999999992E-2</v>
      </c>
      <c r="K332" s="4">
        <v>0.91210000000000002</v>
      </c>
      <c r="L332" s="3">
        <v>10</v>
      </c>
      <c r="M332" s="4">
        <f t="shared" si="53"/>
        <v>0.16902374093599987</v>
      </c>
      <c r="N332" s="4">
        <v>5.3449999999999998E-2</v>
      </c>
      <c r="O332" s="4">
        <f t="shared" si="51"/>
        <v>-0.52583142767314717</v>
      </c>
      <c r="P332" s="4">
        <f t="shared" si="52"/>
        <v>6.8234837129707362E-3</v>
      </c>
      <c r="Q332" s="3" t="s">
        <v>321</v>
      </c>
      <c r="R332" s="3" t="s">
        <v>218</v>
      </c>
      <c r="S332" s="3" t="s">
        <v>222</v>
      </c>
      <c r="T332" s="3" t="s">
        <v>8</v>
      </c>
      <c r="U332" s="3" t="s">
        <v>165</v>
      </c>
      <c r="V332" s="3" t="s">
        <v>165</v>
      </c>
      <c r="W332" s="3" t="s">
        <v>339</v>
      </c>
      <c r="X332" s="3" t="s">
        <v>196</v>
      </c>
      <c r="Y332" s="3">
        <v>50</v>
      </c>
      <c r="Z332" s="3">
        <v>0</v>
      </c>
      <c r="AA332" s="3">
        <v>30</v>
      </c>
      <c r="AB332" s="11" t="s">
        <v>398</v>
      </c>
    </row>
    <row r="333" spans="1:28">
      <c r="A333" s="3" t="s">
        <v>389</v>
      </c>
      <c r="B333" s="3" t="s">
        <v>215</v>
      </c>
      <c r="C333" s="3">
        <v>5</v>
      </c>
      <c r="D333" s="3" t="s">
        <v>143</v>
      </c>
      <c r="E333" s="3">
        <v>3.3</v>
      </c>
      <c r="F333" s="3">
        <v>2012</v>
      </c>
      <c r="G333" s="4">
        <v>0.47899000000000003</v>
      </c>
      <c r="H333" s="3">
        <v>10</v>
      </c>
      <c r="I333" s="4">
        <f t="shared" si="47"/>
        <v>0.10037069293374433</v>
      </c>
      <c r="J333" s="4">
        <v>3.173999999999999E-2</v>
      </c>
      <c r="K333" s="4">
        <v>0.52861000000000002</v>
      </c>
      <c r="L333" s="3">
        <v>10</v>
      </c>
      <c r="M333" s="4">
        <f t="shared" si="53"/>
        <v>0.11014213090366475</v>
      </c>
      <c r="N333" s="4">
        <v>3.4830000000000028E-2</v>
      </c>
      <c r="O333" s="4">
        <f t="shared" si="51"/>
        <v>9.8571199521308731E-2</v>
      </c>
      <c r="P333" s="4">
        <f t="shared" si="52"/>
        <v>8.732438824396711E-3</v>
      </c>
      <c r="Q333" s="3" t="s">
        <v>321</v>
      </c>
      <c r="R333" s="3" t="s">
        <v>219</v>
      </c>
      <c r="S333" s="3" t="s">
        <v>222</v>
      </c>
      <c r="T333" s="3" t="s">
        <v>8</v>
      </c>
      <c r="U333" s="3" t="s">
        <v>165</v>
      </c>
      <c r="V333" s="3" t="s">
        <v>165</v>
      </c>
      <c r="W333" s="3" t="s">
        <v>339</v>
      </c>
      <c r="X333" s="3" t="s">
        <v>196</v>
      </c>
      <c r="Y333" s="3">
        <v>25</v>
      </c>
      <c r="Z333" s="3">
        <v>0</v>
      </c>
      <c r="AA333" s="3">
        <v>30</v>
      </c>
      <c r="AB333" s="11" t="s">
        <v>397</v>
      </c>
    </row>
    <row r="334" spans="1:28">
      <c r="A334" s="3" t="s">
        <v>389</v>
      </c>
      <c r="B334" s="3" t="s">
        <v>215</v>
      </c>
      <c r="C334" s="3">
        <v>6</v>
      </c>
      <c r="D334" s="3" t="s">
        <v>143</v>
      </c>
      <c r="E334" s="3">
        <v>3.3</v>
      </c>
      <c r="F334" s="3">
        <v>2012</v>
      </c>
      <c r="G334" s="4">
        <v>0.47899000000000003</v>
      </c>
      <c r="H334" s="3">
        <v>10</v>
      </c>
      <c r="I334" s="4">
        <f t="shared" si="47"/>
        <v>0.10037069293374433</v>
      </c>
      <c r="J334" s="4">
        <v>3.173999999999999E-2</v>
      </c>
      <c r="K334" s="4">
        <v>0.65861000000000003</v>
      </c>
      <c r="L334" s="3">
        <v>10</v>
      </c>
      <c r="M334" s="4">
        <f t="shared" si="53"/>
        <v>0.10682173936048761</v>
      </c>
      <c r="N334" s="4">
        <v>3.3779999999999921E-2</v>
      </c>
      <c r="O334" s="4">
        <f t="shared" si="51"/>
        <v>0.31845183318377235</v>
      </c>
      <c r="P334" s="4">
        <f t="shared" si="52"/>
        <v>7.0216223199019894E-3</v>
      </c>
      <c r="Q334" s="3" t="s">
        <v>321</v>
      </c>
      <c r="R334" s="3" t="s">
        <v>219</v>
      </c>
      <c r="S334" s="3" t="s">
        <v>222</v>
      </c>
      <c r="T334" s="3" t="s">
        <v>8</v>
      </c>
      <c r="U334" s="3" t="s">
        <v>165</v>
      </c>
      <c r="V334" s="3" t="s">
        <v>165</v>
      </c>
      <c r="W334" s="3" t="s">
        <v>339</v>
      </c>
      <c r="X334" s="3" t="s">
        <v>196</v>
      </c>
      <c r="Y334" s="3">
        <v>50</v>
      </c>
      <c r="Z334" s="3">
        <v>0</v>
      </c>
      <c r="AA334" s="3">
        <v>30</v>
      </c>
      <c r="AB334" s="11" t="s">
        <v>397</v>
      </c>
    </row>
    <row r="335" spans="1:28">
      <c r="A335" s="3" t="s">
        <v>389</v>
      </c>
      <c r="B335" s="3" t="s">
        <v>215</v>
      </c>
      <c r="C335" s="3">
        <v>7</v>
      </c>
      <c r="D335" s="3" t="s">
        <v>143</v>
      </c>
      <c r="E335" s="3">
        <v>3.3</v>
      </c>
      <c r="F335" s="3">
        <v>2012</v>
      </c>
      <c r="G335" s="4">
        <v>0.95920000000000005</v>
      </c>
      <c r="H335" s="3">
        <v>10</v>
      </c>
      <c r="I335" s="4">
        <f t="shared" si="47"/>
        <v>0.11083783198890143</v>
      </c>
      <c r="J335" s="4">
        <v>3.5049999999999915E-2</v>
      </c>
      <c r="K335" s="4">
        <v>1.1633199999999999</v>
      </c>
      <c r="L335" s="3">
        <v>10</v>
      </c>
      <c r="M335" s="4">
        <f t="shared" si="53"/>
        <v>0.10261591007246421</v>
      </c>
      <c r="N335" s="4">
        <v>3.245000000000009E-2</v>
      </c>
      <c r="O335" s="4">
        <f t="shared" si="51"/>
        <v>0.19293366143132551</v>
      </c>
      <c r="P335" s="4">
        <f t="shared" si="52"/>
        <v>2.1133271022908042E-3</v>
      </c>
      <c r="Q335" s="3" t="s">
        <v>324</v>
      </c>
      <c r="R335" s="3" t="s">
        <v>220</v>
      </c>
      <c r="S335" s="3" t="s">
        <v>222</v>
      </c>
      <c r="T335" s="3" t="s">
        <v>8</v>
      </c>
      <c r="U335" s="3" t="s">
        <v>165</v>
      </c>
      <c r="V335" s="3" t="s">
        <v>165</v>
      </c>
      <c r="W335" s="3" t="s">
        <v>339</v>
      </c>
      <c r="X335" s="3" t="s">
        <v>196</v>
      </c>
      <c r="Y335" s="3">
        <v>25</v>
      </c>
      <c r="Z335" s="3">
        <v>0</v>
      </c>
      <c r="AA335" s="3">
        <v>30</v>
      </c>
      <c r="AB335" s="11" t="s">
        <v>397</v>
      </c>
    </row>
    <row r="336" spans="1:28">
      <c r="A336" s="3" t="s">
        <v>389</v>
      </c>
      <c r="B336" s="3" t="s">
        <v>215</v>
      </c>
      <c r="C336" s="3">
        <v>8</v>
      </c>
      <c r="D336" s="3" t="s">
        <v>143</v>
      </c>
      <c r="E336" s="3">
        <v>3.3</v>
      </c>
      <c r="F336" s="3">
        <v>2012</v>
      </c>
      <c r="G336" s="4">
        <v>0.95920000000000005</v>
      </c>
      <c r="H336" s="3">
        <v>10</v>
      </c>
      <c r="I336" s="4">
        <f t="shared" si="47"/>
        <v>0.11083783198890143</v>
      </c>
      <c r="J336" s="4">
        <v>3.5049999999999915E-2</v>
      </c>
      <c r="K336" s="4">
        <v>0.94555</v>
      </c>
      <c r="L336" s="3">
        <v>10</v>
      </c>
      <c r="M336" s="4">
        <f t="shared" si="53"/>
        <v>9.3540173187780823E-2</v>
      </c>
      <c r="N336" s="4">
        <v>2.9580000000000051E-2</v>
      </c>
      <c r="O336" s="4">
        <f t="shared" si="51"/>
        <v>-1.4332834940022585E-2</v>
      </c>
      <c r="P336" s="4">
        <f t="shared" si="52"/>
        <v>2.3138848565137393E-3</v>
      </c>
      <c r="Q336" s="3" t="s">
        <v>322</v>
      </c>
      <c r="R336" s="3" t="s">
        <v>220</v>
      </c>
      <c r="S336" s="3" t="s">
        <v>222</v>
      </c>
      <c r="T336" s="3" t="s">
        <v>8</v>
      </c>
      <c r="U336" s="3" t="s">
        <v>165</v>
      </c>
      <c r="V336" s="3" t="s">
        <v>165</v>
      </c>
      <c r="W336" s="3" t="s">
        <v>339</v>
      </c>
      <c r="X336" s="3" t="s">
        <v>196</v>
      </c>
      <c r="Y336" s="3">
        <v>50</v>
      </c>
      <c r="Z336" s="3">
        <v>0</v>
      </c>
      <c r="AA336" s="3">
        <v>30</v>
      </c>
      <c r="AB336" s="11" t="s">
        <v>397</v>
      </c>
    </row>
    <row r="337" spans="1:28">
      <c r="A337" s="3" t="s">
        <v>388</v>
      </c>
      <c r="B337" s="3" t="s">
        <v>224</v>
      </c>
      <c r="C337" s="3">
        <v>1</v>
      </c>
      <c r="D337" s="3" t="s">
        <v>225</v>
      </c>
      <c r="E337" s="3">
        <v>2.2999999999999998</v>
      </c>
      <c r="F337" s="3">
        <v>2006</v>
      </c>
      <c r="G337" s="4">
        <v>11.11382</v>
      </c>
      <c r="H337" s="3">
        <v>17</v>
      </c>
      <c r="I337" s="4">
        <f t="shared" si="47"/>
        <v>1.3804569945130456</v>
      </c>
      <c r="J337" s="4">
        <v>0.33480999999999916</v>
      </c>
      <c r="K337" s="4">
        <v>11.31495</v>
      </c>
      <c r="L337" s="3">
        <v>18</v>
      </c>
      <c r="M337" s="4">
        <f t="shared" si="53"/>
        <v>1.5553096494910603</v>
      </c>
      <c r="N337" s="4">
        <v>0.36659000000000042</v>
      </c>
      <c r="O337" s="4">
        <f t="shared" si="51"/>
        <v>1.7935481225308286E-2</v>
      </c>
      <c r="P337" s="4">
        <f t="shared" si="52"/>
        <v>1.9572267358000852E-3</v>
      </c>
      <c r="Q337" s="3" t="s">
        <v>323</v>
      </c>
      <c r="R337" s="3" t="s">
        <v>226</v>
      </c>
      <c r="S337" s="3" t="s">
        <v>221</v>
      </c>
      <c r="T337" s="3" t="s">
        <v>8</v>
      </c>
      <c r="U337" s="3" t="s">
        <v>335</v>
      </c>
      <c r="V337" s="3" t="s">
        <v>332</v>
      </c>
      <c r="W337" s="3" t="s">
        <v>112</v>
      </c>
      <c r="X337" s="3" t="s">
        <v>98</v>
      </c>
      <c r="Y337" s="3">
        <v>25</v>
      </c>
      <c r="Z337" s="3" t="s">
        <v>363</v>
      </c>
      <c r="AA337" s="3" t="s">
        <v>363</v>
      </c>
      <c r="AB337" s="11" t="s">
        <v>397</v>
      </c>
    </row>
    <row r="338" spans="1:28">
      <c r="A338" s="3" t="s">
        <v>388</v>
      </c>
      <c r="B338" s="3" t="s">
        <v>223</v>
      </c>
      <c r="C338" s="3">
        <v>2</v>
      </c>
      <c r="D338" s="3" t="s">
        <v>225</v>
      </c>
      <c r="E338" s="3">
        <v>2.2999999999999998</v>
      </c>
      <c r="F338" s="3">
        <v>2006</v>
      </c>
      <c r="G338" s="4">
        <v>11.11382</v>
      </c>
      <c r="H338" s="3">
        <v>17</v>
      </c>
      <c r="I338" s="4">
        <f t="shared" si="47"/>
        <v>1.3804569945130456</v>
      </c>
      <c r="J338" s="4">
        <v>0.33480999999999916</v>
      </c>
      <c r="K338" s="4">
        <v>10.97292</v>
      </c>
      <c r="L338" s="3">
        <v>19</v>
      </c>
      <c r="M338" s="4">
        <f t="shared" si="53"/>
        <v>1.4016039552955046</v>
      </c>
      <c r="N338" s="4">
        <v>0.32155000000000022</v>
      </c>
      <c r="O338" s="4">
        <f t="shared" si="51"/>
        <v>-1.2758959577833028E-2</v>
      </c>
      <c r="P338" s="4">
        <f t="shared" si="52"/>
        <v>1.7662711124077223E-3</v>
      </c>
      <c r="Q338" s="3" t="s">
        <v>323</v>
      </c>
      <c r="R338" s="3" t="s">
        <v>226</v>
      </c>
      <c r="S338" s="3" t="s">
        <v>221</v>
      </c>
      <c r="T338" s="3" t="s">
        <v>8</v>
      </c>
      <c r="U338" s="3" t="s">
        <v>335</v>
      </c>
      <c r="V338" s="3" t="s">
        <v>332</v>
      </c>
      <c r="W338" s="3" t="s">
        <v>112</v>
      </c>
      <c r="X338" s="3" t="s">
        <v>98</v>
      </c>
      <c r="Y338" s="3">
        <v>50</v>
      </c>
      <c r="Z338" s="3" t="s">
        <v>363</v>
      </c>
      <c r="AA338" s="3" t="s">
        <v>363</v>
      </c>
      <c r="AB338" s="11" t="s">
        <v>397</v>
      </c>
    </row>
    <row r="339" spans="1:28">
      <c r="A339" s="3" t="s">
        <v>388</v>
      </c>
      <c r="B339" s="3" t="s">
        <v>223</v>
      </c>
      <c r="C339" s="3">
        <v>3</v>
      </c>
      <c r="D339" s="3" t="s">
        <v>225</v>
      </c>
      <c r="E339" s="3">
        <v>2.2999999999999998</v>
      </c>
      <c r="F339" s="3">
        <v>2006</v>
      </c>
      <c r="G339" s="4">
        <v>11.11382</v>
      </c>
      <c r="H339" s="3">
        <v>17</v>
      </c>
      <c r="I339" s="4">
        <f t="shared" si="47"/>
        <v>1.3804569945130456</v>
      </c>
      <c r="J339" s="4">
        <v>0.33480999999999916</v>
      </c>
      <c r="K339" s="4">
        <v>9.4973200000000002</v>
      </c>
      <c r="L339" s="3">
        <v>5</v>
      </c>
      <c r="M339" s="4">
        <f t="shared" si="53"/>
        <v>0.39983131505673819</v>
      </c>
      <c r="N339" s="4">
        <v>0.17881000000000036</v>
      </c>
      <c r="O339" s="4">
        <f t="shared" si="51"/>
        <v>-0.15717972539331923</v>
      </c>
      <c r="P339" s="4">
        <f t="shared" si="52"/>
        <v>1.2620207024753929E-3</v>
      </c>
      <c r="Q339" s="3" t="s">
        <v>323</v>
      </c>
      <c r="R339" s="3" t="s">
        <v>226</v>
      </c>
      <c r="S339" s="3" t="s">
        <v>221</v>
      </c>
      <c r="T339" s="3" t="s">
        <v>8</v>
      </c>
      <c r="U339" s="3" t="s">
        <v>337</v>
      </c>
      <c r="V339" s="3" t="s">
        <v>333</v>
      </c>
      <c r="W339" s="3" t="s">
        <v>112</v>
      </c>
      <c r="X339" s="3" t="s">
        <v>98</v>
      </c>
      <c r="Y339" s="3">
        <v>100</v>
      </c>
      <c r="Z339" s="3" t="s">
        <v>363</v>
      </c>
      <c r="AA339" s="3" t="s">
        <v>363</v>
      </c>
      <c r="AB339" s="11" t="s">
        <v>397</v>
      </c>
    </row>
    <row r="340" spans="1:28">
      <c r="A340" s="3" t="s">
        <v>387</v>
      </c>
      <c r="B340" s="3" t="s">
        <v>227</v>
      </c>
      <c r="C340" s="3">
        <v>1</v>
      </c>
      <c r="D340" s="3" t="s">
        <v>40</v>
      </c>
      <c r="E340" s="3">
        <v>2.8</v>
      </c>
      <c r="F340" s="3">
        <v>2005</v>
      </c>
      <c r="G340" s="4">
        <v>11.544042500000002</v>
      </c>
      <c r="H340" s="3">
        <v>12</v>
      </c>
      <c r="I340" s="4">
        <f t="shared" si="47"/>
        <v>16.737592632321846</v>
      </c>
      <c r="J340" s="4">
        <v>4.8317268059286578</v>
      </c>
      <c r="K340" s="4">
        <v>25.194598181818183</v>
      </c>
      <c r="L340" s="3">
        <v>11</v>
      </c>
      <c r="M340" s="4">
        <f t="shared" si="53"/>
        <v>27.412066484770158</v>
      </c>
      <c r="N340" s="4">
        <v>8.2650490234781007</v>
      </c>
      <c r="O340" s="4">
        <f t="shared" si="51"/>
        <v>0.78046011064411469</v>
      </c>
      <c r="P340" s="4">
        <f t="shared" si="52"/>
        <v>0.2827975580767409</v>
      </c>
      <c r="Q340" s="3" t="s">
        <v>298</v>
      </c>
      <c r="R340" s="3" t="s">
        <v>177</v>
      </c>
      <c r="S340" s="3" t="s">
        <v>221</v>
      </c>
      <c r="T340" s="3" t="s">
        <v>8</v>
      </c>
      <c r="U340" s="3" t="s">
        <v>337</v>
      </c>
      <c r="V340" s="3" t="s">
        <v>332</v>
      </c>
      <c r="W340" s="3" t="s">
        <v>340</v>
      </c>
      <c r="X340" s="3" t="s">
        <v>264</v>
      </c>
      <c r="Y340" s="3">
        <v>75</v>
      </c>
      <c r="Z340" s="3">
        <v>12</v>
      </c>
      <c r="AA340" s="3">
        <v>7</v>
      </c>
      <c r="AB340" s="11" t="s">
        <v>397</v>
      </c>
    </row>
    <row r="341" spans="1:28">
      <c r="A341" s="3" t="s">
        <v>387</v>
      </c>
      <c r="B341" s="3" t="s">
        <v>227</v>
      </c>
      <c r="C341" s="3">
        <v>2</v>
      </c>
      <c r="D341" s="3" t="s">
        <v>40</v>
      </c>
      <c r="E341" s="3">
        <v>2.8</v>
      </c>
      <c r="F341" s="3">
        <v>2005</v>
      </c>
      <c r="G341" s="4">
        <v>7.4218141666666675</v>
      </c>
      <c r="H341" s="3">
        <v>12</v>
      </c>
      <c r="I341" s="4">
        <f t="shared" si="47"/>
        <v>11.170280372678452</v>
      </c>
      <c r="J341" s="4">
        <v>3.2245821900447487</v>
      </c>
      <c r="K341" s="4">
        <v>15.808455454545452</v>
      </c>
      <c r="L341" s="3">
        <v>11</v>
      </c>
      <c r="M341" s="4">
        <f t="shared" si="53"/>
        <v>22.814525056269328</v>
      </c>
      <c r="N341" s="4">
        <v>6.8788381256188433</v>
      </c>
      <c r="O341" s="4">
        <f t="shared" si="51"/>
        <v>0.7561214280891918</v>
      </c>
      <c r="P341" s="4">
        <f t="shared" si="52"/>
        <v>0.37811118585946313</v>
      </c>
      <c r="Q341" s="3" t="s">
        <v>298</v>
      </c>
      <c r="R341" s="3" t="s">
        <v>177</v>
      </c>
      <c r="S341" s="3" t="s">
        <v>221</v>
      </c>
      <c r="T341" s="3" t="s">
        <v>8</v>
      </c>
      <c r="U341" s="3" t="s">
        <v>337</v>
      </c>
      <c r="V341" s="3" t="s">
        <v>332</v>
      </c>
      <c r="W341" s="3" t="s">
        <v>339</v>
      </c>
      <c r="X341" s="3" t="s">
        <v>264</v>
      </c>
      <c r="Y341" s="3">
        <v>75</v>
      </c>
      <c r="Z341" s="3">
        <v>12</v>
      </c>
      <c r="AA341" s="3">
        <v>7</v>
      </c>
      <c r="AB341" s="11" t="s">
        <v>397</v>
      </c>
    </row>
    <row r="342" spans="1:28">
      <c r="A342" s="3" t="s">
        <v>387</v>
      </c>
      <c r="B342" s="3" t="s">
        <v>227</v>
      </c>
      <c r="C342" s="3">
        <v>3</v>
      </c>
      <c r="D342" s="3" t="s">
        <v>40</v>
      </c>
      <c r="E342" s="3">
        <v>2.8</v>
      </c>
      <c r="F342" s="3">
        <v>2005</v>
      </c>
      <c r="G342" s="3">
        <v>9.6384250000000016</v>
      </c>
      <c r="H342" s="3">
        <v>10</v>
      </c>
      <c r="I342" s="4">
        <f t="shared" si="47"/>
        <v>9.5964981355150698</v>
      </c>
      <c r="J342" s="4">
        <v>3.0346791669786808</v>
      </c>
      <c r="K342" s="4">
        <v>7.6229083333333341</v>
      </c>
      <c r="L342" s="3">
        <v>13</v>
      </c>
      <c r="M342" s="4">
        <f t="shared" si="53"/>
        <v>12.322461842396748</v>
      </c>
      <c r="N342" s="4">
        <v>3.4176360009776876</v>
      </c>
      <c r="O342" s="4">
        <f t="shared" si="51"/>
        <v>-0.23459974560965427</v>
      </c>
      <c r="P342" s="4">
        <f t="shared" si="52"/>
        <v>0.30013845156214114</v>
      </c>
      <c r="Q342" s="3" t="s">
        <v>298</v>
      </c>
      <c r="R342" s="3" t="s">
        <v>177</v>
      </c>
      <c r="S342" s="3" t="s">
        <v>221</v>
      </c>
      <c r="T342" s="3" t="s">
        <v>8</v>
      </c>
      <c r="U342" s="3" t="s">
        <v>337</v>
      </c>
      <c r="V342" s="3" t="s">
        <v>333</v>
      </c>
      <c r="W342" s="3" t="s">
        <v>339</v>
      </c>
      <c r="X342" s="3" t="s">
        <v>264</v>
      </c>
      <c r="Y342" s="3">
        <v>75</v>
      </c>
      <c r="Z342" s="3">
        <v>12</v>
      </c>
      <c r="AA342" s="3">
        <v>56</v>
      </c>
      <c r="AB342" s="11" t="s">
        <v>397</v>
      </c>
    </row>
    <row r="343" spans="1:28">
      <c r="A343" s="3" t="s">
        <v>387</v>
      </c>
      <c r="B343" s="3" t="s">
        <v>227</v>
      </c>
      <c r="C343" s="3">
        <v>4</v>
      </c>
      <c r="D343" s="3" t="s">
        <v>40</v>
      </c>
      <c r="E343" s="3">
        <v>2.8</v>
      </c>
      <c r="F343" s="3">
        <v>2005</v>
      </c>
      <c r="G343" s="4">
        <v>3.4394200000000001</v>
      </c>
      <c r="H343" s="3">
        <v>9</v>
      </c>
      <c r="I343" s="4">
        <f t="shared" si="47"/>
        <v>6.2762348050483254</v>
      </c>
      <c r="J343" s="4">
        <v>2.0920782683494417</v>
      </c>
      <c r="K343" s="4">
        <v>2.9184377777777777</v>
      </c>
      <c r="L343" s="3">
        <v>9</v>
      </c>
      <c r="M343" s="4">
        <f t="shared" si="53"/>
        <v>5.7618494166066139</v>
      </c>
      <c r="N343" s="4">
        <v>1.9206164722022045</v>
      </c>
      <c r="O343" s="4">
        <f t="shared" si="51"/>
        <v>-0.1642543870165796</v>
      </c>
      <c r="P343" s="4">
        <f t="shared" si="52"/>
        <v>0.8030783793582128</v>
      </c>
      <c r="Q343" s="3" t="s">
        <v>298</v>
      </c>
      <c r="R343" s="3" t="s">
        <v>177</v>
      </c>
      <c r="S343" s="3" t="s">
        <v>221</v>
      </c>
      <c r="T343" s="3" t="s">
        <v>8</v>
      </c>
      <c r="U343" s="3" t="s">
        <v>337</v>
      </c>
      <c r="V343" s="3" t="s">
        <v>333</v>
      </c>
      <c r="W343" s="3" t="s">
        <v>339</v>
      </c>
      <c r="X343" s="3" t="s">
        <v>264</v>
      </c>
      <c r="Y343" s="3">
        <v>75</v>
      </c>
      <c r="Z343" s="3">
        <v>12</v>
      </c>
      <c r="AA343" s="3">
        <v>56</v>
      </c>
      <c r="AB343" s="11" t="s">
        <v>397</v>
      </c>
    </row>
    <row r="344" spans="1:28">
      <c r="A344" s="3" t="s">
        <v>229</v>
      </c>
      <c r="B344" s="3" t="s">
        <v>231</v>
      </c>
      <c r="C344" s="3">
        <v>1</v>
      </c>
      <c r="D344" s="3" t="s">
        <v>157</v>
      </c>
      <c r="E344" s="3">
        <v>4.0999999999999996</v>
      </c>
      <c r="F344" s="3">
        <v>2009</v>
      </c>
      <c r="G344" s="4">
        <v>15.48874</v>
      </c>
      <c r="H344" s="3">
        <v>15</v>
      </c>
      <c r="I344" s="4">
        <f t="shared" si="47"/>
        <v>10.009415619605379</v>
      </c>
      <c r="J344" s="4">
        <v>2.5844200000000015</v>
      </c>
      <c r="K344" s="4">
        <v>33.414830000000002</v>
      </c>
      <c r="L344" s="3">
        <v>15</v>
      </c>
      <c r="M344" s="4">
        <f t="shared" si="53"/>
        <v>22.075888883881891</v>
      </c>
      <c r="N344" s="4">
        <v>5.6999700000000004</v>
      </c>
      <c r="O344" s="4">
        <f t="shared" si="51"/>
        <v>0.76888650509608958</v>
      </c>
      <c r="P344" s="4">
        <f t="shared" si="52"/>
        <v>5.6939822030857748E-2</v>
      </c>
      <c r="Q344" s="3" t="s">
        <v>287</v>
      </c>
      <c r="R344" s="3" t="s">
        <v>228</v>
      </c>
      <c r="S344" s="3" t="s">
        <v>221</v>
      </c>
      <c r="T344" s="3" t="s">
        <v>8</v>
      </c>
      <c r="U344" s="3" t="s">
        <v>337</v>
      </c>
      <c r="V344" s="3" t="s">
        <v>333</v>
      </c>
      <c r="W344" s="3" t="s">
        <v>360</v>
      </c>
      <c r="X344" s="3" t="s">
        <v>148</v>
      </c>
      <c r="Y344" s="3">
        <v>100</v>
      </c>
      <c r="Z344" s="3" t="s">
        <v>363</v>
      </c>
      <c r="AA344" s="3" t="s">
        <v>363</v>
      </c>
      <c r="AB344" s="11" t="s">
        <v>397</v>
      </c>
    </row>
    <row r="345" spans="1:28">
      <c r="A345" s="3" t="s">
        <v>229</v>
      </c>
      <c r="B345" s="3" t="s">
        <v>230</v>
      </c>
      <c r="C345" s="3">
        <v>2</v>
      </c>
      <c r="D345" s="3" t="s">
        <v>157</v>
      </c>
      <c r="E345" s="3">
        <v>4.0999999999999996</v>
      </c>
      <c r="F345" s="3">
        <v>2009</v>
      </c>
      <c r="G345" s="4">
        <v>58.396329999999999</v>
      </c>
      <c r="H345" s="3">
        <v>15</v>
      </c>
      <c r="I345" s="4">
        <f t="shared" si="47"/>
        <v>23.831783343551976</v>
      </c>
      <c r="J345" s="4">
        <v>6.1533400000000071</v>
      </c>
      <c r="K345" s="4">
        <v>79.388319999999993</v>
      </c>
      <c r="L345" s="3">
        <v>15</v>
      </c>
      <c r="M345" s="4">
        <f t="shared" si="53"/>
        <v>16.282099447122906</v>
      </c>
      <c r="N345" s="4">
        <v>4.2040199999999999</v>
      </c>
      <c r="O345" s="4">
        <f t="shared" si="51"/>
        <v>0.30709820876402533</v>
      </c>
      <c r="P345" s="4">
        <f t="shared" si="52"/>
        <v>1.3907512681926373E-2</v>
      </c>
      <c r="Q345" s="3" t="s">
        <v>287</v>
      </c>
      <c r="R345" s="3" t="s">
        <v>228</v>
      </c>
      <c r="S345" s="3" t="s">
        <v>221</v>
      </c>
      <c r="T345" s="3" t="s">
        <v>8</v>
      </c>
      <c r="U345" s="3" t="s">
        <v>337</v>
      </c>
      <c r="V345" s="3" t="s">
        <v>333</v>
      </c>
      <c r="W345" s="3" t="s">
        <v>360</v>
      </c>
      <c r="X345" s="3" t="s">
        <v>148</v>
      </c>
      <c r="Y345" s="3">
        <v>100</v>
      </c>
      <c r="Z345" s="3" t="s">
        <v>363</v>
      </c>
      <c r="AA345" s="3" t="s">
        <v>363</v>
      </c>
      <c r="AB345" s="11" t="s">
        <v>397</v>
      </c>
    </row>
    <row r="346" spans="1:28">
      <c r="A346" s="3" t="s">
        <v>229</v>
      </c>
      <c r="B346" s="3" t="s">
        <v>230</v>
      </c>
      <c r="C346" s="3">
        <v>3</v>
      </c>
      <c r="D346" s="3" t="s">
        <v>157</v>
      </c>
      <c r="E346" s="3">
        <v>4.0999999999999996</v>
      </c>
      <c r="F346" s="3">
        <v>2009</v>
      </c>
      <c r="G346" s="4">
        <v>15.272349999999999</v>
      </c>
      <c r="H346" s="3">
        <v>15</v>
      </c>
      <c r="I346" s="4">
        <f t="shared" si="47"/>
        <v>12.015659722774284</v>
      </c>
      <c r="J346" s="4">
        <v>3.1024300000000018</v>
      </c>
      <c r="K346" s="4">
        <v>35.472810000000003</v>
      </c>
      <c r="L346" s="3">
        <v>15</v>
      </c>
      <c r="M346" s="4">
        <f t="shared" si="53"/>
        <v>25.206769891122491</v>
      </c>
      <c r="N346" s="4">
        <v>6.5083599999999961</v>
      </c>
      <c r="O346" s="4">
        <f t="shared" si="51"/>
        <v>0.84272248360645929</v>
      </c>
      <c r="P346" s="4">
        <f t="shared" si="52"/>
        <v>7.4928920567782262E-2</v>
      </c>
      <c r="Q346" s="3" t="s">
        <v>287</v>
      </c>
      <c r="R346" s="3" t="s">
        <v>228</v>
      </c>
      <c r="S346" s="3" t="s">
        <v>221</v>
      </c>
      <c r="T346" s="3" t="s">
        <v>8</v>
      </c>
      <c r="U346" s="3" t="s">
        <v>335</v>
      </c>
      <c r="V346" s="3" t="s">
        <v>332</v>
      </c>
      <c r="W346" s="3" t="s">
        <v>112</v>
      </c>
      <c r="X346" s="3" t="s">
        <v>99</v>
      </c>
      <c r="Y346" s="3" t="s">
        <v>363</v>
      </c>
      <c r="Z346" s="3" t="s">
        <v>363</v>
      </c>
      <c r="AA346" s="3" t="s">
        <v>363</v>
      </c>
      <c r="AB346" s="11" t="s">
        <v>397</v>
      </c>
    </row>
    <row r="347" spans="1:28">
      <c r="A347" s="3" t="s">
        <v>229</v>
      </c>
      <c r="B347" s="3" t="s">
        <v>230</v>
      </c>
      <c r="C347" s="3">
        <v>4</v>
      </c>
      <c r="D347" s="3" t="s">
        <v>157</v>
      </c>
      <c r="E347" s="3">
        <v>4.0999999999999996</v>
      </c>
      <c r="F347" s="3">
        <v>2009</v>
      </c>
      <c r="G347" s="3">
        <v>58.218350000000001</v>
      </c>
      <c r="H347" s="3">
        <v>15</v>
      </c>
      <c r="I347" s="4">
        <f t="shared" si="47"/>
        <v>23.802774698288836</v>
      </c>
      <c r="J347" s="4">
        <v>6.1458499999999958</v>
      </c>
      <c r="K347" s="4">
        <v>72.15025</v>
      </c>
      <c r="L347" s="3">
        <v>15</v>
      </c>
      <c r="M347" s="4">
        <f t="shared" si="53"/>
        <v>18.759956732359495</v>
      </c>
      <c r="N347" s="4">
        <v>4.8438000000000017</v>
      </c>
      <c r="O347" s="4">
        <f t="shared" si="51"/>
        <v>0.21455015307783745</v>
      </c>
      <c r="P347" s="4">
        <f t="shared" si="52"/>
        <v>1.5651172729193471E-2</v>
      </c>
      <c r="Q347" s="3" t="s">
        <v>287</v>
      </c>
      <c r="R347" s="3" t="s">
        <v>228</v>
      </c>
      <c r="S347" s="3" t="s">
        <v>221</v>
      </c>
      <c r="T347" s="3" t="s">
        <v>8</v>
      </c>
      <c r="U347" s="3" t="s">
        <v>335</v>
      </c>
      <c r="V347" s="3" t="s">
        <v>333</v>
      </c>
      <c r="W347" s="3" t="s">
        <v>112</v>
      </c>
      <c r="X347" s="3" t="s">
        <v>99</v>
      </c>
      <c r="Y347" s="3" t="s">
        <v>363</v>
      </c>
      <c r="Z347" s="3" t="s">
        <v>363</v>
      </c>
      <c r="AA347" s="3" t="s">
        <v>363</v>
      </c>
      <c r="AB347" s="11" t="s">
        <v>397</v>
      </c>
    </row>
    <row r="348" spans="1:28">
      <c r="A348" s="3" t="s">
        <v>229</v>
      </c>
      <c r="B348" s="3" t="s">
        <v>230</v>
      </c>
      <c r="C348" s="3">
        <v>5</v>
      </c>
      <c r="D348" s="3" t="s">
        <v>157</v>
      </c>
      <c r="E348" s="3">
        <v>4.0999999999999996</v>
      </c>
      <c r="F348" s="3">
        <v>2009</v>
      </c>
      <c r="G348" s="4">
        <v>0.57796999999999998</v>
      </c>
      <c r="H348" s="3">
        <v>15</v>
      </c>
      <c r="I348" s="4">
        <f t="shared" si="47"/>
        <v>0.21433089837911867</v>
      </c>
      <c r="J348" s="3">
        <v>5.5340000000000056E-2</v>
      </c>
      <c r="K348" s="4">
        <v>0.63849</v>
      </c>
      <c r="L348" s="3">
        <v>15</v>
      </c>
      <c r="M348" s="4">
        <f t="shared" si="53"/>
        <v>0.34361108247552213</v>
      </c>
      <c r="N348" s="3">
        <v>8.8720000000000021E-2</v>
      </c>
      <c r="O348" s="4">
        <f t="shared" si="51"/>
        <v>9.95840494316447E-2</v>
      </c>
      <c r="P348" s="4">
        <f t="shared" si="52"/>
        <v>2.8475746851623157E-2</v>
      </c>
      <c r="Q348" s="3" t="s">
        <v>287</v>
      </c>
      <c r="R348" s="3" t="s">
        <v>228</v>
      </c>
      <c r="S348" s="3" t="s">
        <v>221</v>
      </c>
      <c r="T348" s="3" t="s">
        <v>8</v>
      </c>
      <c r="U348" s="3" t="s">
        <v>337</v>
      </c>
      <c r="V348" s="3" t="s">
        <v>333</v>
      </c>
      <c r="W348" s="3" t="s">
        <v>360</v>
      </c>
      <c r="X348" s="3" t="s">
        <v>148</v>
      </c>
      <c r="Y348" s="3">
        <v>100</v>
      </c>
      <c r="Z348" s="3" t="s">
        <v>363</v>
      </c>
      <c r="AA348" s="3" t="s">
        <v>363</v>
      </c>
      <c r="AB348" s="11" t="s">
        <v>397</v>
      </c>
    </row>
    <row r="349" spans="1:28">
      <c r="A349" s="3" t="s">
        <v>229</v>
      </c>
      <c r="B349" s="3" t="s">
        <v>230</v>
      </c>
      <c r="C349" s="3">
        <v>6</v>
      </c>
      <c r="D349" s="3" t="s">
        <v>157</v>
      </c>
      <c r="E349" s="3">
        <v>4.0999999999999996</v>
      </c>
      <c r="F349" s="3">
        <v>2009</v>
      </c>
      <c r="G349" s="4">
        <v>0.57796999999999998</v>
      </c>
      <c r="H349" s="3">
        <v>15</v>
      </c>
      <c r="I349" s="4">
        <f t="shared" si="47"/>
        <v>0.21433089837911867</v>
      </c>
      <c r="J349" s="3">
        <v>5.5340000000000056E-2</v>
      </c>
      <c r="K349" s="4">
        <v>0.67625000000000002</v>
      </c>
      <c r="L349" s="3">
        <v>15</v>
      </c>
      <c r="M349" s="4">
        <f t="shared" si="53"/>
        <v>0.37122545373398086</v>
      </c>
      <c r="N349" s="3">
        <v>9.5849999999999991E-2</v>
      </c>
      <c r="O349" s="4">
        <f t="shared" si="51"/>
        <v>0.15704086594951391</v>
      </c>
      <c r="P349" s="4">
        <f t="shared" si="52"/>
        <v>2.9257380046343609E-2</v>
      </c>
      <c r="Q349" s="3" t="s">
        <v>287</v>
      </c>
      <c r="R349" s="3" t="s">
        <v>228</v>
      </c>
      <c r="S349" s="3" t="s">
        <v>221</v>
      </c>
      <c r="T349" s="3" t="s">
        <v>8</v>
      </c>
      <c r="U349" s="3" t="s">
        <v>335</v>
      </c>
      <c r="V349" s="3" t="s">
        <v>333</v>
      </c>
      <c r="W349" s="3" t="s">
        <v>112</v>
      </c>
      <c r="X349" s="3" t="s">
        <v>99</v>
      </c>
      <c r="Y349" s="3" t="s">
        <v>363</v>
      </c>
      <c r="Z349" s="3" t="s">
        <v>363</v>
      </c>
      <c r="AA349" s="3" t="s">
        <v>363</v>
      </c>
      <c r="AB349" s="11" t="s">
        <v>397</v>
      </c>
    </row>
    <row r="350" spans="1:28">
      <c r="A350" s="3" t="s">
        <v>229</v>
      </c>
      <c r="B350" s="3" t="s">
        <v>230</v>
      </c>
      <c r="C350" s="3">
        <v>7</v>
      </c>
      <c r="D350" s="3" t="s">
        <v>157</v>
      </c>
      <c r="E350" s="3">
        <v>4.0999999999999996</v>
      </c>
      <c r="F350" s="3">
        <v>2009</v>
      </c>
      <c r="G350" s="4">
        <v>0.95891000000000004</v>
      </c>
      <c r="H350" s="3">
        <v>15</v>
      </c>
      <c r="I350" s="4">
        <f t="shared" si="47"/>
        <v>0.24271986630681841</v>
      </c>
      <c r="J350" s="3">
        <v>6.2669999999999892E-2</v>
      </c>
      <c r="K350" s="4">
        <v>1.2139899999999999</v>
      </c>
      <c r="L350" s="3">
        <v>15</v>
      </c>
      <c r="M350" s="4">
        <f t="shared" si="53"/>
        <v>0.35693414518647565</v>
      </c>
      <c r="N350" s="3">
        <v>9.216000000000002E-2</v>
      </c>
      <c r="O350" s="4">
        <f t="shared" si="51"/>
        <v>0.23587051163184677</v>
      </c>
      <c r="P350" s="4">
        <f t="shared" si="52"/>
        <v>1.0034416451656194E-2</v>
      </c>
      <c r="Q350" s="3" t="s">
        <v>287</v>
      </c>
      <c r="R350" s="3" t="s">
        <v>228</v>
      </c>
      <c r="S350" s="3" t="s">
        <v>221</v>
      </c>
      <c r="T350" s="3" t="s">
        <v>8</v>
      </c>
      <c r="U350" s="3" t="s">
        <v>337</v>
      </c>
      <c r="V350" s="3" t="s">
        <v>333</v>
      </c>
      <c r="W350" s="3" t="s">
        <v>360</v>
      </c>
      <c r="X350" s="3" t="s">
        <v>148</v>
      </c>
      <c r="Y350" s="3">
        <v>100</v>
      </c>
      <c r="Z350" s="3" t="s">
        <v>363</v>
      </c>
      <c r="AA350" s="3" t="s">
        <v>363</v>
      </c>
      <c r="AB350" s="11" t="s">
        <v>397</v>
      </c>
    </row>
    <row r="351" spans="1:28">
      <c r="A351" s="3" t="s">
        <v>229</v>
      </c>
      <c r="B351" s="3" t="s">
        <v>230</v>
      </c>
      <c r="C351" s="3">
        <v>8</v>
      </c>
      <c r="D351" s="3" t="s">
        <v>157</v>
      </c>
      <c r="E351" s="3">
        <v>4.0999999999999996</v>
      </c>
      <c r="F351" s="3">
        <v>2009</v>
      </c>
      <c r="G351" s="4">
        <v>0.95891000000000004</v>
      </c>
      <c r="H351" s="3">
        <v>15</v>
      </c>
      <c r="I351" s="4">
        <f t="shared" si="47"/>
        <v>0.24271986630681841</v>
      </c>
      <c r="J351" s="3">
        <v>6.2669999999999892E-2</v>
      </c>
      <c r="K351" s="4">
        <v>1.2304600000000001</v>
      </c>
      <c r="L351" s="3">
        <v>15</v>
      </c>
      <c r="M351" s="4">
        <f t="shared" si="53"/>
        <v>0.27130248340182933</v>
      </c>
      <c r="N351" s="3">
        <v>7.0049999999999946E-2</v>
      </c>
      <c r="O351" s="4">
        <f t="shared" si="51"/>
        <v>0.24934613947043208</v>
      </c>
      <c r="P351" s="4">
        <f t="shared" si="52"/>
        <v>7.5123523617837747E-3</v>
      </c>
      <c r="Q351" s="3" t="s">
        <v>287</v>
      </c>
      <c r="R351" s="3" t="s">
        <v>228</v>
      </c>
      <c r="S351" s="3" t="s">
        <v>221</v>
      </c>
      <c r="T351" s="3" t="s">
        <v>8</v>
      </c>
      <c r="U351" s="3" t="s">
        <v>335</v>
      </c>
      <c r="V351" s="3" t="s">
        <v>333</v>
      </c>
      <c r="W351" s="3" t="s">
        <v>112</v>
      </c>
      <c r="X351" s="3" t="s">
        <v>99</v>
      </c>
      <c r="Y351" s="3" t="s">
        <v>363</v>
      </c>
      <c r="Z351" s="3" t="s">
        <v>363</v>
      </c>
      <c r="AA351" s="3" t="s">
        <v>363</v>
      </c>
      <c r="AB351" s="11" t="s">
        <v>397</v>
      </c>
    </row>
    <row r="352" spans="1:28">
      <c r="A352" s="3" t="s">
        <v>229</v>
      </c>
      <c r="B352" s="3" t="s">
        <v>230</v>
      </c>
      <c r="C352" s="3">
        <v>9</v>
      </c>
      <c r="D352" s="3" t="s">
        <v>157</v>
      </c>
      <c r="E352" s="3">
        <v>4.0999999999999996</v>
      </c>
      <c r="F352" s="3">
        <v>2009</v>
      </c>
      <c r="G352" s="3">
        <v>0.26562999999999998</v>
      </c>
      <c r="H352" s="3">
        <v>15</v>
      </c>
      <c r="I352" s="4">
        <f t="shared" si="47"/>
        <v>0.13148778460374194</v>
      </c>
      <c r="J352" s="3">
        <v>3.3950000000000036E-2</v>
      </c>
      <c r="K352" s="3">
        <v>0.34509000000000001</v>
      </c>
      <c r="L352" s="3">
        <v>15</v>
      </c>
      <c r="M352" s="4">
        <f t="shared" si="53"/>
        <v>0.17939658859632746</v>
      </c>
      <c r="N352" s="3">
        <v>4.6319999999999972E-2</v>
      </c>
      <c r="O352" s="4">
        <f t="shared" si="51"/>
        <v>0.26170088954509607</v>
      </c>
      <c r="P352" s="4">
        <f t="shared" si="52"/>
        <v>3.4351812133584361E-2</v>
      </c>
      <c r="Q352" s="3" t="s">
        <v>287</v>
      </c>
      <c r="R352" s="3" t="s">
        <v>228</v>
      </c>
      <c r="S352" s="3" t="s">
        <v>221</v>
      </c>
      <c r="T352" s="3" t="s">
        <v>8</v>
      </c>
      <c r="U352" s="3" t="s">
        <v>337</v>
      </c>
      <c r="V352" s="3" t="s">
        <v>333</v>
      </c>
      <c r="W352" s="3" t="s">
        <v>360</v>
      </c>
      <c r="X352" s="3" t="s">
        <v>148</v>
      </c>
      <c r="Y352" s="3">
        <v>100</v>
      </c>
      <c r="Z352" s="3" t="s">
        <v>363</v>
      </c>
      <c r="AA352" s="3" t="s">
        <v>363</v>
      </c>
      <c r="AB352" s="11" t="s">
        <v>397</v>
      </c>
    </row>
    <row r="353" spans="1:28">
      <c r="A353" s="3" t="s">
        <v>229</v>
      </c>
      <c r="B353" s="3" t="s">
        <v>230</v>
      </c>
      <c r="C353" s="3">
        <v>10</v>
      </c>
      <c r="D353" s="3" t="s">
        <v>157</v>
      </c>
      <c r="E353" s="3">
        <v>4.0999999999999996</v>
      </c>
      <c r="F353" s="3">
        <v>2009</v>
      </c>
      <c r="G353" s="3">
        <v>0.26562999999999998</v>
      </c>
      <c r="H353" s="3">
        <v>15</v>
      </c>
      <c r="I353" s="4">
        <f t="shared" si="47"/>
        <v>0.13148778460374194</v>
      </c>
      <c r="J353" s="3">
        <v>3.3950000000000036E-2</v>
      </c>
      <c r="K353" s="3">
        <v>0.45867000000000002</v>
      </c>
      <c r="L353" s="3">
        <v>15</v>
      </c>
      <c r="M353" s="4">
        <f t="shared" si="53"/>
        <v>0.11413681921273257</v>
      </c>
      <c r="N353" s="3">
        <v>2.9469999999999996E-2</v>
      </c>
      <c r="O353" s="4">
        <f t="shared" si="51"/>
        <v>0.54622663420969952</v>
      </c>
      <c r="P353" s="4">
        <f t="shared" si="52"/>
        <v>2.046342149039504E-2</v>
      </c>
      <c r="Q353" s="3" t="s">
        <v>287</v>
      </c>
      <c r="R353" s="3" t="s">
        <v>228</v>
      </c>
      <c r="S353" s="3" t="s">
        <v>221</v>
      </c>
      <c r="T353" s="3" t="s">
        <v>8</v>
      </c>
      <c r="U353" s="3" t="s">
        <v>335</v>
      </c>
      <c r="V353" s="3" t="s">
        <v>333</v>
      </c>
      <c r="W353" s="3" t="s">
        <v>112</v>
      </c>
      <c r="X353" s="3" t="s">
        <v>99</v>
      </c>
      <c r="Y353" s="3" t="s">
        <v>363</v>
      </c>
      <c r="Z353" s="3" t="s">
        <v>363</v>
      </c>
      <c r="AA353" s="3" t="s">
        <v>363</v>
      </c>
      <c r="AB353" s="11" t="s">
        <v>397</v>
      </c>
    </row>
    <row r="354" spans="1:28">
      <c r="A354" s="3" t="s">
        <v>229</v>
      </c>
      <c r="B354" s="3" t="s">
        <v>230</v>
      </c>
      <c r="C354" s="3">
        <v>11</v>
      </c>
      <c r="D354" s="3" t="s">
        <v>157</v>
      </c>
      <c r="E354" s="3">
        <v>4.0999999999999996</v>
      </c>
      <c r="F354" s="3">
        <v>2009</v>
      </c>
      <c r="G354" s="3">
        <v>0.86882999999999999</v>
      </c>
      <c r="H354" s="3">
        <v>15</v>
      </c>
      <c r="I354" s="4">
        <f t="shared" si="47"/>
        <v>0.19694120315464739</v>
      </c>
      <c r="J354" s="3">
        <v>5.0850000000000062E-2</v>
      </c>
      <c r="K354" s="3">
        <v>1.0895300000000001</v>
      </c>
      <c r="L354" s="3">
        <v>15</v>
      </c>
      <c r="M354" s="4">
        <f t="shared" si="53"/>
        <v>0.4047654895121367</v>
      </c>
      <c r="N354" s="3">
        <v>0.10450999999999988</v>
      </c>
      <c r="O354" s="4">
        <f t="shared" si="51"/>
        <v>0.22635421060210048</v>
      </c>
      <c r="P354" s="4">
        <f t="shared" si="52"/>
        <v>1.2626456202398655E-2</v>
      </c>
      <c r="Q354" s="3" t="s">
        <v>287</v>
      </c>
      <c r="R354" s="3" t="s">
        <v>228</v>
      </c>
      <c r="S354" s="3" t="s">
        <v>221</v>
      </c>
      <c r="T354" s="3" t="s">
        <v>8</v>
      </c>
      <c r="U354" s="3" t="s">
        <v>337</v>
      </c>
      <c r="V354" s="3" t="s">
        <v>333</v>
      </c>
      <c r="W354" s="3" t="s">
        <v>360</v>
      </c>
      <c r="X354" s="3" t="s">
        <v>148</v>
      </c>
      <c r="Y354" s="3">
        <v>100</v>
      </c>
      <c r="Z354" s="3" t="s">
        <v>363</v>
      </c>
      <c r="AA354" s="3" t="s">
        <v>363</v>
      </c>
      <c r="AB354" s="11" t="s">
        <v>397</v>
      </c>
    </row>
    <row r="355" spans="1:28">
      <c r="A355" s="3" t="s">
        <v>229</v>
      </c>
      <c r="B355" s="3" t="s">
        <v>230</v>
      </c>
      <c r="C355" s="3">
        <v>12</v>
      </c>
      <c r="D355" s="3" t="s">
        <v>157</v>
      </c>
      <c r="E355" s="3">
        <v>4.0999999999999996</v>
      </c>
      <c r="F355" s="3">
        <v>2009</v>
      </c>
      <c r="G355" s="3">
        <v>0.86882999999999999</v>
      </c>
      <c r="H355" s="3">
        <v>15</v>
      </c>
      <c r="I355" s="4">
        <f t="shared" si="47"/>
        <v>0.19694120315464739</v>
      </c>
      <c r="J355" s="3">
        <v>5.0850000000000062E-2</v>
      </c>
      <c r="K355" s="3">
        <v>1.3157700000000001</v>
      </c>
      <c r="L355" s="3">
        <v>15</v>
      </c>
      <c r="M355" s="4">
        <f t="shared" si="53"/>
        <v>0.3098386676965928</v>
      </c>
      <c r="N355" s="3">
        <v>7.9999999999999849E-2</v>
      </c>
      <c r="O355" s="4">
        <f t="shared" si="51"/>
        <v>0.41502984560412515</v>
      </c>
      <c r="P355" s="4">
        <f t="shared" si="52"/>
        <v>7.1221573452976113E-3</v>
      </c>
      <c r="Q355" s="3" t="s">
        <v>287</v>
      </c>
      <c r="R355" s="3" t="s">
        <v>228</v>
      </c>
      <c r="S355" s="3" t="s">
        <v>221</v>
      </c>
      <c r="T355" s="3" t="s">
        <v>8</v>
      </c>
      <c r="U355" s="3" t="s">
        <v>335</v>
      </c>
      <c r="V355" s="3" t="s">
        <v>333</v>
      </c>
      <c r="W355" s="3" t="s">
        <v>112</v>
      </c>
      <c r="X355" s="3" t="s">
        <v>99</v>
      </c>
      <c r="Y355" s="3" t="s">
        <v>363</v>
      </c>
      <c r="Z355" s="3" t="s">
        <v>363</v>
      </c>
      <c r="AA355" s="3" t="s">
        <v>363</v>
      </c>
      <c r="AB355" s="11" t="s">
        <v>397</v>
      </c>
    </row>
    <row r="356" spans="1:28">
      <c r="A356" s="3" t="s">
        <v>229</v>
      </c>
      <c r="B356" s="3" t="s">
        <v>230</v>
      </c>
      <c r="C356" s="3">
        <v>13</v>
      </c>
      <c r="D356" s="3" t="s">
        <v>157</v>
      </c>
      <c r="E356" s="3">
        <v>4.0999999999999996</v>
      </c>
      <c r="F356" s="3">
        <v>2009</v>
      </c>
      <c r="G356" s="3">
        <v>0.55088999999999999</v>
      </c>
      <c r="H356" s="3">
        <v>15</v>
      </c>
      <c r="I356" s="4">
        <f t="shared" si="47"/>
        <v>9.8567426160978661E-2</v>
      </c>
      <c r="J356" s="3">
        <v>2.5449999999999973E-2</v>
      </c>
      <c r="K356" s="3">
        <v>0.65130999999999994</v>
      </c>
      <c r="L356" s="3">
        <v>15</v>
      </c>
      <c r="M356" s="4">
        <f t="shared" ref="M356:M387" si="54" xml:space="preserve"> N356 * SQRT(L356)</f>
        <v>0.46719798105300075</v>
      </c>
      <c r="N356" s="3">
        <v>0.12063000000000001</v>
      </c>
      <c r="O356" s="4">
        <f t="shared" si="51"/>
        <v>0.16745056714285744</v>
      </c>
      <c r="P356" s="4">
        <f t="shared" si="52"/>
        <v>3.6437494167865327E-2</v>
      </c>
      <c r="Q356" s="3" t="s">
        <v>287</v>
      </c>
      <c r="R356" s="3" t="s">
        <v>228</v>
      </c>
      <c r="S356" s="3" t="s">
        <v>221</v>
      </c>
      <c r="T356" s="3" t="s">
        <v>8</v>
      </c>
      <c r="U356" s="3" t="s">
        <v>337</v>
      </c>
      <c r="V356" s="3" t="s">
        <v>333</v>
      </c>
      <c r="W356" s="3" t="s">
        <v>360</v>
      </c>
      <c r="X356" s="3" t="s">
        <v>148</v>
      </c>
      <c r="Y356" s="3">
        <v>100</v>
      </c>
      <c r="Z356" s="3" t="s">
        <v>363</v>
      </c>
      <c r="AA356" s="3" t="s">
        <v>363</v>
      </c>
      <c r="AB356" s="11" t="s">
        <v>397</v>
      </c>
    </row>
    <row r="357" spans="1:28">
      <c r="A357" s="3" t="s">
        <v>229</v>
      </c>
      <c r="B357" s="3" t="s">
        <v>230</v>
      </c>
      <c r="C357" s="3">
        <v>14</v>
      </c>
      <c r="D357" s="3" t="s">
        <v>157</v>
      </c>
      <c r="E357" s="3">
        <v>4.0999999999999996</v>
      </c>
      <c r="F357" s="3">
        <v>2009</v>
      </c>
      <c r="G357" s="3">
        <v>0.55088999999999999</v>
      </c>
      <c r="H357" s="3">
        <v>15</v>
      </c>
      <c r="I357" s="4">
        <f t="shared" si="47"/>
        <v>9.8567426160978661E-2</v>
      </c>
      <c r="J357" s="3">
        <v>2.5449999999999973E-2</v>
      </c>
      <c r="K357" s="3">
        <v>0.66556999999999999</v>
      </c>
      <c r="L357" s="3">
        <v>15</v>
      </c>
      <c r="M357" s="4">
        <f t="shared" si="54"/>
        <v>0.22172829657037471</v>
      </c>
      <c r="N357" s="3">
        <v>5.7250000000000023E-2</v>
      </c>
      <c r="O357" s="4">
        <f t="shared" si="51"/>
        <v>0.18910866417663813</v>
      </c>
      <c r="P357" s="4">
        <f t="shared" si="52"/>
        <v>9.53309026341672E-3</v>
      </c>
      <c r="Q357" s="3" t="s">
        <v>287</v>
      </c>
      <c r="R357" s="3" t="s">
        <v>228</v>
      </c>
      <c r="S357" s="3" t="s">
        <v>221</v>
      </c>
      <c r="T357" s="3" t="s">
        <v>8</v>
      </c>
      <c r="U357" s="3" t="s">
        <v>335</v>
      </c>
      <c r="V357" s="3" t="s">
        <v>333</v>
      </c>
      <c r="W357" s="3" t="s">
        <v>112</v>
      </c>
      <c r="X357" s="3" t="s">
        <v>99</v>
      </c>
      <c r="Y357" s="3" t="s">
        <v>363</v>
      </c>
      <c r="Z357" s="3" t="s">
        <v>363</v>
      </c>
      <c r="AA357" s="3" t="s">
        <v>363</v>
      </c>
      <c r="AB357" s="11" t="s">
        <v>397</v>
      </c>
    </row>
    <row r="358" spans="1:28">
      <c r="A358" s="3" t="s">
        <v>229</v>
      </c>
      <c r="B358" s="3" t="s">
        <v>230</v>
      </c>
      <c r="C358" s="3">
        <v>15</v>
      </c>
      <c r="D358" s="3" t="s">
        <v>157</v>
      </c>
      <c r="E358" s="3">
        <v>4.0999999999999996</v>
      </c>
      <c r="F358" s="3">
        <v>2009</v>
      </c>
      <c r="G358" s="3">
        <v>1.37124</v>
      </c>
      <c r="H358" s="3">
        <v>15</v>
      </c>
      <c r="I358" s="4">
        <f t="shared" si="47"/>
        <v>0.56669492321706927</v>
      </c>
      <c r="J358" s="3">
        <v>0.14632000000000001</v>
      </c>
      <c r="K358" s="3">
        <v>1.8741300000000001</v>
      </c>
      <c r="L358" s="3">
        <v>15</v>
      </c>
      <c r="M358" s="4">
        <f t="shared" si="54"/>
        <v>0.78846194962090632</v>
      </c>
      <c r="N358" s="3">
        <v>0.20358000000000009</v>
      </c>
      <c r="O358" s="4">
        <f t="shared" si="51"/>
        <v>0.31242911177657778</v>
      </c>
      <c r="P358" s="4">
        <f t="shared" si="52"/>
        <v>2.3185938090453058E-2</v>
      </c>
      <c r="Q358" s="3" t="s">
        <v>287</v>
      </c>
      <c r="R358" s="3" t="s">
        <v>228</v>
      </c>
      <c r="S358" s="3" t="s">
        <v>221</v>
      </c>
      <c r="T358" s="3" t="s">
        <v>8</v>
      </c>
      <c r="U358" s="3" t="s">
        <v>337</v>
      </c>
      <c r="V358" s="3" t="s">
        <v>333</v>
      </c>
      <c r="W358" s="3" t="s">
        <v>360</v>
      </c>
      <c r="X358" s="3" t="s">
        <v>148</v>
      </c>
      <c r="Y358" s="3">
        <v>100</v>
      </c>
      <c r="Z358" s="3" t="s">
        <v>363</v>
      </c>
      <c r="AA358" s="3" t="s">
        <v>363</v>
      </c>
      <c r="AB358" s="11" t="s">
        <v>397</v>
      </c>
    </row>
    <row r="359" spans="1:28">
      <c r="A359" s="3" t="s">
        <v>229</v>
      </c>
      <c r="B359" s="3" t="s">
        <v>230</v>
      </c>
      <c r="C359" s="3">
        <v>16</v>
      </c>
      <c r="D359" s="3" t="s">
        <v>157</v>
      </c>
      <c r="E359" s="3">
        <v>4.0999999999999996</v>
      </c>
      <c r="F359" s="3">
        <v>2009</v>
      </c>
      <c r="G359" s="3">
        <v>1.37124</v>
      </c>
      <c r="H359" s="3">
        <v>15</v>
      </c>
      <c r="I359" s="4">
        <f t="shared" si="47"/>
        <v>0.56669492321706927</v>
      </c>
      <c r="J359" s="3">
        <v>0.14632000000000001</v>
      </c>
      <c r="K359" s="3">
        <v>1.98349</v>
      </c>
      <c r="L359" s="3">
        <v>15</v>
      </c>
      <c r="M359" s="4">
        <f t="shared" si="54"/>
        <v>0.51743057505331158</v>
      </c>
      <c r="N359" s="3">
        <v>0.13360000000000016</v>
      </c>
      <c r="O359" s="4">
        <f t="shared" si="51"/>
        <v>0.36914247940190986</v>
      </c>
      <c r="P359" s="4">
        <f t="shared" si="52"/>
        <v>1.5923076703709356E-2</v>
      </c>
      <c r="Q359" s="3" t="s">
        <v>287</v>
      </c>
      <c r="R359" s="3" t="s">
        <v>228</v>
      </c>
      <c r="S359" s="3" t="s">
        <v>221</v>
      </c>
      <c r="T359" s="3" t="s">
        <v>8</v>
      </c>
      <c r="U359" s="3" t="s">
        <v>335</v>
      </c>
      <c r="V359" s="3" t="s">
        <v>333</v>
      </c>
      <c r="W359" s="3" t="s">
        <v>112</v>
      </c>
      <c r="X359" s="3" t="s">
        <v>99</v>
      </c>
      <c r="Y359" s="3" t="s">
        <v>363</v>
      </c>
      <c r="Z359" s="3" t="s">
        <v>363</v>
      </c>
      <c r="AA359" s="3" t="s">
        <v>363</v>
      </c>
      <c r="AB359" s="11" t="s">
        <v>397</v>
      </c>
    </row>
    <row r="360" spans="1:28">
      <c r="A360" s="3" t="s">
        <v>386</v>
      </c>
      <c r="B360" s="3" t="s">
        <v>392</v>
      </c>
      <c r="C360" s="3">
        <v>1</v>
      </c>
      <c r="D360" s="3" t="s">
        <v>145</v>
      </c>
      <c r="E360" s="3">
        <v>1.9</v>
      </c>
      <c r="F360" s="3">
        <v>2007</v>
      </c>
      <c r="G360" s="3">
        <v>658.27392999999995</v>
      </c>
      <c r="H360" s="3">
        <v>48</v>
      </c>
      <c r="I360" s="4">
        <f t="shared" si="47"/>
        <v>281.61441793075329</v>
      </c>
      <c r="J360" s="4">
        <v>40.647540000000049</v>
      </c>
      <c r="K360" s="4">
        <v>589.56380999999999</v>
      </c>
      <c r="L360" s="3">
        <v>48</v>
      </c>
      <c r="M360" s="4">
        <f t="shared" si="54"/>
        <v>489.74408619723374</v>
      </c>
      <c r="N360" s="4">
        <v>70.688470000000052</v>
      </c>
      <c r="O360" s="4">
        <f t="shared" si="51"/>
        <v>-0.11023819329024002</v>
      </c>
      <c r="P360" s="4">
        <f t="shared" si="52"/>
        <v>1.818881442459799E-2</v>
      </c>
      <c r="Q360" s="3" t="s">
        <v>313</v>
      </c>
      <c r="R360" s="3" t="s">
        <v>232</v>
      </c>
      <c r="S360" s="3" t="s">
        <v>221</v>
      </c>
      <c r="T360" s="3" t="s">
        <v>8</v>
      </c>
      <c r="U360" s="3" t="s">
        <v>165</v>
      </c>
      <c r="V360" s="3" t="s">
        <v>165</v>
      </c>
      <c r="W360" s="3" t="s">
        <v>360</v>
      </c>
      <c r="X360" s="3" t="s">
        <v>148</v>
      </c>
      <c r="Y360" s="3">
        <v>50</v>
      </c>
      <c r="Z360" s="3">
        <v>0</v>
      </c>
      <c r="AA360" s="3">
        <v>120</v>
      </c>
      <c r="AB360" s="11" t="s">
        <v>397</v>
      </c>
    </row>
    <row r="361" spans="1:28">
      <c r="A361" s="3" t="s">
        <v>386</v>
      </c>
      <c r="B361" s="3" t="s">
        <v>392</v>
      </c>
      <c r="C361" s="3">
        <v>2</v>
      </c>
      <c r="D361" s="3" t="s">
        <v>145</v>
      </c>
      <c r="E361" s="3">
        <v>1.9</v>
      </c>
      <c r="F361" s="3">
        <v>2007</v>
      </c>
      <c r="G361" s="3">
        <v>658.27392999999995</v>
      </c>
      <c r="H361" s="3">
        <v>48</v>
      </c>
      <c r="I361" s="4">
        <f t="shared" si="47"/>
        <v>281.61441793075329</v>
      </c>
      <c r="J361" s="4">
        <v>40.647540000000049</v>
      </c>
      <c r="K361" s="4">
        <v>495.60066999999998</v>
      </c>
      <c r="L361" s="3">
        <v>48</v>
      </c>
      <c r="M361" s="4">
        <f t="shared" si="54"/>
        <v>230.47457860679737</v>
      </c>
      <c r="N361" s="4">
        <v>33.266140000000007</v>
      </c>
      <c r="O361" s="4">
        <f t="shared" si="51"/>
        <v>-0.28385065003372156</v>
      </c>
      <c r="P361" s="4">
        <f t="shared" si="52"/>
        <v>8.3183781627275098E-3</v>
      </c>
      <c r="Q361" s="3" t="s">
        <v>313</v>
      </c>
      <c r="R361" s="3" t="s">
        <v>232</v>
      </c>
      <c r="S361" s="3" t="s">
        <v>221</v>
      </c>
      <c r="T361" s="3" t="s">
        <v>8</v>
      </c>
      <c r="U361" s="3" t="s">
        <v>337</v>
      </c>
      <c r="V361" s="3" t="s">
        <v>333</v>
      </c>
      <c r="W361" s="3" t="s">
        <v>360</v>
      </c>
      <c r="X361" s="3" t="s">
        <v>148</v>
      </c>
      <c r="Y361" s="3">
        <v>100</v>
      </c>
      <c r="Z361" s="3">
        <v>0</v>
      </c>
      <c r="AA361" s="3">
        <v>120</v>
      </c>
      <c r="AB361" s="11" t="s">
        <v>397</v>
      </c>
    </row>
    <row r="362" spans="1:28">
      <c r="A362" s="3" t="s">
        <v>385</v>
      </c>
      <c r="B362" s="3" t="s">
        <v>193</v>
      </c>
      <c r="C362" s="3">
        <v>1</v>
      </c>
      <c r="D362" s="3" t="s">
        <v>233</v>
      </c>
      <c r="E362" s="3">
        <v>10.199999999999999</v>
      </c>
      <c r="F362" s="3">
        <v>2008</v>
      </c>
      <c r="G362" s="4">
        <v>168.05333999999999</v>
      </c>
      <c r="H362" s="3">
        <v>46</v>
      </c>
      <c r="I362" s="4">
        <f t="shared" si="47"/>
        <v>211.50512929466606</v>
      </c>
      <c r="J362" s="4">
        <v>31.184730000000002</v>
      </c>
      <c r="K362" s="4">
        <v>229.57924</v>
      </c>
      <c r="L362" s="3">
        <v>46</v>
      </c>
      <c r="M362" s="4">
        <f t="shared" si="54"/>
        <v>196.92495106004213</v>
      </c>
      <c r="N362" s="4">
        <v>29.034999999999997</v>
      </c>
      <c r="O362" s="4">
        <f t="shared" si="51"/>
        <v>0.31196681322817993</v>
      </c>
      <c r="P362" s="4">
        <f t="shared" si="52"/>
        <v>5.042896077196668E-2</v>
      </c>
      <c r="Q362" s="3" t="s">
        <v>298</v>
      </c>
      <c r="R362" s="3" t="s">
        <v>138</v>
      </c>
      <c r="S362" s="3" t="s">
        <v>221</v>
      </c>
      <c r="T362" s="3" t="s">
        <v>8</v>
      </c>
      <c r="U362" s="3" t="s">
        <v>337</v>
      </c>
      <c r="V362" s="3" t="s">
        <v>332</v>
      </c>
      <c r="W362" s="3" t="s">
        <v>329</v>
      </c>
      <c r="X362" s="3" t="s">
        <v>100</v>
      </c>
      <c r="Y362" s="3" t="s">
        <v>363</v>
      </c>
      <c r="Z362" s="3">
        <v>0</v>
      </c>
      <c r="AA362" s="3">
        <v>2</v>
      </c>
      <c r="AB362" s="11" t="s">
        <v>397</v>
      </c>
    </row>
    <row r="363" spans="1:28">
      <c r="A363" s="3" t="s">
        <v>385</v>
      </c>
      <c r="B363" s="3" t="s">
        <v>193</v>
      </c>
      <c r="C363" s="3">
        <v>2</v>
      </c>
      <c r="D363" s="3" t="s">
        <v>233</v>
      </c>
      <c r="E363" s="3">
        <v>10.199999999999999</v>
      </c>
      <c r="F363" s="3">
        <v>2008</v>
      </c>
      <c r="G363" s="4">
        <v>168.05333999999999</v>
      </c>
      <c r="H363" s="3">
        <v>46</v>
      </c>
      <c r="I363" s="4">
        <f t="shared" si="47"/>
        <v>211.50512929466606</v>
      </c>
      <c r="J363" s="4">
        <v>31.184730000000002</v>
      </c>
      <c r="K363" s="4">
        <v>124.05184</v>
      </c>
      <c r="L363" s="3">
        <v>46</v>
      </c>
      <c r="M363" s="4">
        <f t="shared" si="54"/>
        <v>239.09680066211683</v>
      </c>
      <c r="N363" s="4">
        <v>35.252900000000011</v>
      </c>
      <c r="O363" s="4">
        <f t="shared" si="51"/>
        <v>-0.30358188625425542</v>
      </c>
      <c r="P363" s="4">
        <f t="shared" si="52"/>
        <v>0.1151917512953865</v>
      </c>
      <c r="Q363" s="3" t="s">
        <v>298</v>
      </c>
      <c r="R363" s="3" t="s">
        <v>138</v>
      </c>
      <c r="S363" s="3" t="s">
        <v>221</v>
      </c>
      <c r="T363" s="3" t="s">
        <v>8</v>
      </c>
      <c r="U363" s="3" t="s">
        <v>337</v>
      </c>
      <c r="V363" s="3" t="s">
        <v>333</v>
      </c>
      <c r="W363" s="3" t="s">
        <v>360</v>
      </c>
      <c r="X363" s="3" t="s">
        <v>148</v>
      </c>
      <c r="Y363" s="3">
        <v>100</v>
      </c>
      <c r="Z363" s="3">
        <v>0</v>
      </c>
      <c r="AA363" s="3">
        <v>2</v>
      </c>
      <c r="AB363" s="11" t="s">
        <v>397</v>
      </c>
    </row>
    <row r="364" spans="1:28">
      <c r="A364" s="3" t="s">
        <v>385</v>
      </c>
      <c r="B364" s="3" t="s">
        <v>193</v>
      </c>
      <c r="C364" s="3">
        <v>3</v>
      </c>
      <c r="D364" s="3" t="s">
        <v>233</v>
      </c>
      <c r="E364" s="3">
        <v>10.199999999999999</v>
      </c>
      <c r="F364" s="3">
        <v>2008</v>
      </c>
      <c r="G364" s="4">
        <v>168.05333999999999</v>
      </c>
      <c r="H364" s="3">
        <v>46</v>
      </c>
      <c r="I364" s="4">
        <f t="shared" si="47"/>
        <v>211.50512929466606</v>
      </c>
      <c r="J364" s="4">
        <v>31.184730000000002</v>
      </c>
      <c r="K364" s="4">
        <v>189.76836</v>
      </c>
      <c r="L364" s="3">
        <v>46</v>
      </c>
      <c r="M364" s="4">
        <f t="shared" si="54"/>
        <v>240.29645918953193</v>
      </c>
      <c r="N364" s="4">
        <v>35.429779999999994</v>
      </c>
      <c r="O364" s="4">
        <f t="shared" si="51"/>
        <v>0.12152274147738011</v>
      </c>
      <c r="P364" s="4">
        <f t="shared" si="52"/>
        <v>6.9291118300433163E-2</v>
      </c>
      <c r="Q364" s="3" t="s">
        <v>298</v>
      </c>
      <c r="R364" s="3" t="s">
        <v>138</v>
      </c>
      <c r="S364" s="3" t="s">
        <v>221</v>
      </c>
      <c r="T364" s="3" t="s">
        <v>8</v>
      </c>
      <c r="U364" s="3" t="s">
        <v>337</v>
      </c>
      <c r="V364" s="3" t="s">
        <v>333</v>
      </c>
      <c r="W364" s="3" t="s">
        <v>339</v>
      </c>
      <c r="X364" s="3" t="s">
        <v>196</v>
      </c>
      <c r="Y364" s="3">
        <v>100</v>
      </c>
      <c r="Z364" s="3">
        <v>0</v>
      </c>
      <c r="AA364" s="3">
        <v>2</v>
      </c>
      <c r="AB364" s="11" t="s">
        <v>397</v>
      </c>
    </row>
    <row r="365" spans="1:28">
      <c r="A365" s="3" t="s">
        <v>384</v>
      </c>
      <c r="B365" s="3" t="s">
        <v>234</v>
      </c>
      <c r="C365" s="3">
        <v>1</v>
      </c>
      <c r="D365" s="3" t="s">
        <v>235</v>
      </c>
      <c r="E365" s="3">
        <v>2.9</v>
      </c>
      <c r="F365" s="3">
        <v>2016</v>
      </c>
      <c r="G365" s="3">
        <v>2.2532700000000001</v>
      </c>
      <c r="H365" s="3">
        <v>80</v>
      </c>
      <c r="I365" s="4">
        <f t="shared" si="47"/>
        <v>1.0040839646165058</v>
      </c>
      <c r="J365" s="4">
        <v>0.11226000000000003</v>
      </c>
      <c r="K365" s="4">
        <v>2.40164</v>
      </c>
      <c r="L365" s="3">
        <v>80</v>
      </c>
      <c r="M365" s="4">
        <f t="shared" si="54"/>
        <v>0.62404185116064237</v>
      </c>
      <c r="N365" s="4">
        <v>6.977000000000011E-2</v>
      </c>
      <c r="O365" s="4">
        <f t="shared" si="51"/>
        <v>6.3769342838424212E-2</v>
      </c>
      <c r="P365" s="4">
        <f t="shared" si="52"/>
        <v>3.3260843043562451E-3</v>
      </c>
      <c r="Q365" s="3" t="s">
        <v>289</v>
      </c>
      <c r="R365" s="3" t="s">
        <v>96</v>
      </c>
      <c r="S365" s="3" t="s">
        <v>221</v>
      </c>
      <c r="T365" s="3" t="s">
        <v>97</v>
      </c>
      <c r="U365" s="3" t="s">
        <v>165</v>
      </c>
      <c r="V365" s="3" t="s">
        <v>165</v>
      </c>
      <c r="W365" s="3" t="s">
        <v>112</v>
      </c>
      <c r="X365" s="3" t="s">
        <v>98</v>
      </c>
      <c r="Y365" s="3" t="s">
        <v>363</v>
      </c>
      <c r="Z365" s="3">
        <v>100</v>
      </c>
      <c r="AA365" s="3">
        <v>0</v>
      </c>
      <c r="AB365" s="11" t="s">
        <v>397</v>
      </c>
    </row>
    <row r="366" spans="1:28">
      <c r="A366" s="3" t="s">
        <v>384</v>
      </c>
      <c r="B366" s="3" t="s">
        <v>234</v>
      </c>
      <c r="C366" s="3">
        <v>2</v>
      </c>
      <c r="D366" s="3" t="s">
        <v>235</v>
      </c>
      <c r="E366" s="3">
        <v>2.9</v>
      </c>
      <c r="F366" s="3">
        <v>2016</v>
      </c>
      <c r="G366" s="3">
        <v>2.2532700000000001</v>
      </c>
      <c r="H366" s="3">
        <v>80</v>
      </c>
      <c r="I366" s="4">
        <f t="shared" si="47"/>
        <v>1.0040839646165058</v>
      </c>
      <c r="J366" s="4">
        <v>0.11226000000000003</v>
      </c>
      <c r="K366" s="4">
        <v>2.47065</v>
      </c>
      <c r="L366" s="3">
        <v>80</v>
      </c>
      <c r="M366" s="4">
        <f t="shared" si="54"/>
        <v>0.68736729628343418</v>
      </c>
      <c r="N366" s="4">
        <v>7.6849999999999863E-2</v>
      </c>
      <c r="O366" s="4">
        <f t="shared" si="51"/>
        <v>9.2098779431765337E-2</v>
      </c>
      <c r="P366" s="4">
        <f t="shared" si="52"/>
        <v>3.449656655449055E-3</v>
      </c>
      <c r="Q366" s="3" t="s">
        <v>289</v>
      </c>
      <c r="R366" s="3" t="s">
        <v>96</v>
      </c>
      <c r="S366" s="3" t="s">
        <v>221</v>
      </c>
      <c r="T366" s="3" t="s">
        <v>97</v>
      </c>
      <c r="U366" s="3" t="s">
        <v>165</v>
      </c>
      <c r="V366" s="3" t="s">
        <v>165</v>
      </c>
      <c r="W366" s="3" t="s">
        <v>112</v>
      </c>
      <c r="X366" s="3" t="s">
        <v>99</v>
      </c>
      <c r="Y366" s="3" t="s">
        <v>363</v>
      </c>
      <c r="Z366" s="3">
        <v>100</v>
      </c>
      <c r="AA366" s="3">
        <v>0</v>
      </c>
      <c r="AB366" s="11" t="s">
        <v>397</v>
      </c>
    </row>
    <row r="367" spans="1:28">
      <c r="A367" s="3" t="s">
        <v>384</v>
      </c>
      <c r="B367" s="3" t="s">
        <v>234</v>
      </c>
      <c r="C367" s="3">
        <v>3</v>
      </c>
      <c r="D367" s="3" t="s">
        <v>235</v>
      </c>
      <c r="E367" s="3">
        <v>2.9</v>
      </c>
      <c r="F367" s="3">
        <v>2016</v>
      </c>
      <c r="G367" s="3">
        <v>1.7468300000000001</v>
      </c>
      <c r="H367" s="3">
        <v>40</v>
      </c>
      <c r="I367" s="4">
        <f t="shared" si="47"/>
        <v>0.70835019587771619</v>
      </c>
      <c r="J367" s="4">
        <v>0.11199999999999988</v>
      </c>
      <c r="K367" s="4">
        <v>1.7390099999999999</v>
      </c>
      <c r="L367" s="3">
        <v>40</v>
      </c>
      <c r="M367" s="4">
        <f t="shared" si="54"/>
        <v>0.58590680487599767</v>
      </c>
      <c r="N367" s="4">
        <v>9.2640000000000056E-2</v>
      </c>
      <c r="O367" s="4">
        <f t="shared" si="51"/>
        <v>-4.4867309564050701E-3</v>
      </c>
      <c r="P367" s="4">
        <f t="shared" si="52"/>
        <v>6.9487524965309378E-3</v>
      </c>
      <c r="Q367" s="3" t="s">
        <v>289</v>
      </c>
      <c r="R367" s="3" t="s">
        <v>96</v>
      </c>
      <c r="S367" s="3" t="s">
        <v>221</v>
      </c>
      <c r="T367" s="3" t="s">
        <v>97</v>
      </c>
      <c r="U367" s="3" t="s">
        <v>165</v>
      </c>
      <c r="V367" s="3" t="s">
        <v>165</v>
      </c>
      <c r="W367" s="3" t="s">
        <v>112</v>
      </c>
      <c r="X367" s="3" t="s">
        <v>98</v>
      </c>
      <c r="Y367" s="3" t="s">
        <v>363</v>
      </c>
      <c r="Z367" s="3">
        <v>100</v>
      </c>
      <c r="AA367" s="3">
        <v>0</v>
      </c>
      <c r="AB367" s="11" t="s">
        <v>397</v>
      </c>
    </row>
    <row r="368" spans="1:28">
      <c r="A368" s="3" t="s">
        <v>384</v>
      </c>
      <c r="B368" s="3" t="s">
        <v>234</v>
      </c>
      <c r="C368" s="3">
        <v>4</v>
      </c>
      <c r="D368" s="3" t="s">
        <v>235</v>
      </c>
      <c r="E368" s="3">
        <v>2.9</v>
      </c>
      <c r="F368" s="3">
        <v>2016</v>
      </c>
      <c r="G368" s="3">
        <v>1.7468300000000001</v>
      </c>
      <c r="H368" s="3">
        <v>40</v>
      </c>
      <c r="I368" s="4">
        <f t="shared" ref="I368:I394" si="55" xml:space="preserve"> J368 * SQRT(H368)</f>
        <v>0.70835019587771619</v>
      </c>
      <c r="J368" s="4">
        <v>0.11199999999999988</v>
      </c>
      <c r="K368" s="4">
        <v>1.84433</v>
      </c>
      <c r="L368" s="3">
        <v>40</v>
      </c>
      <c r="M368" s="4">
        <f t="shared" si="54"/>
        <v>0.56958945214952872</v>
      </c>
      <c r="N368" s="4">
        <v>9.0060000000000029E-2</v>
      </c>
      <c r="O368" s="4">
        <f t="shared" si="51"/>
        <v>5.4313351165138649E-2</v>
      </c>
      <c r="P368" s="4">
        <f t="shared" si="52"/>
        <v>6.4953208783127721E-3</v>
      </c>
      <c r="Q368" s="3" t="s">
        <v>289</v>
      </c>
      <c r="R368" s="3" t="s">
        <v>96</v>
      </c>
      <c r="S368" s="3" t="s">
        <v>221</v>
      </c>
      <c r="T368" s="3" t="s">
        <v>97</v>
      </c>
      <c r="U368" s="3" t="s">
        <v>165</v>
      </c>
      <c r="V368" s="3" t="s">
        <v>165</v>
      </c>
      <c r="W368" s="3" t="s">
        <v>112</v>
      </c>
      <c r="X368" s="3" t="s">
        <v>99</v>
      </c>
      <c r="Y368" s="3" t="s">
        <v>363</v>
      </c>
      <c r="Z368" s="3">
        <v>100</v>
      </c>
      <c r="AA368" s="3">
        <v>0</v>
      </c>
      <c r="AB368" s="11" t="s">
        <v>397</v>
      </c>
    </row>
    <row r="369" spans="1:28">
      <c r="A369" s="3" t="s">
        <v>384</v>
      </c>
      <c r="B369" s="3" t="s">
        <v>234</v>
      </c>
      <c r="C369" s="3">
        <v>5</v>
      </c>
      <c r="D369" s="3" t="s">
        <v>235</v>
      </c>
      <c r="E369" s="3">
        <v>2.9</v>
      </c>
      <c r="F369" s="3">
        <v>2016</v>
      </c>
      <c r="G369" s="3">
        <v>1.7468300000000001</v>
      </c>
      <c r="H369" s="3">
        <v>40</v>
      </c>
      <c r="I369" s="4">
        <f t="shared" si="55"/>
        <v>0.70835019587771619</v>
      </c>
      <c r="J369" s="4">
        <v>0.11199999999999988</v>
      </c>
      <c r="K369" s="4">
        <v>2.01173</v>
      </c>
      <c r="L369" s="3">
        <v>40</v>
      </c>
      <c r="M369" s="4">
        <f t="shared" si="54"/>
        <v>0.7779203044014199</v>
      </c>
      <c r="N369" s="4">
        <v>0.12299999999999978</v>
      </c>
      <c r="O369" s="4">
        <f t="shared" si="51"/>
        <v>0.14119233165824724</v>
      </c>
      <c r="P369" s="4">
        <f t="shared" si="52"/>
        <v>7.8491511263201769E-3</v>
      </c>
      <c r="Q369" s="3" t="s">
        <v>289</v>
      </c>
      <c r="R369" s="3" t="s">
        <v>96</v>
      </c>
      <c r="S369" s="3" t="s">
        <v>221</v>
      </c>
      <c r="T369" s="3" t="s">
        <v>97</v>
      </c>
      <c r="U369" s="3" t="s">
        <v>165</v>
      </c>
      <c r="V369" s="3" t="s">
        <v>165</v>
      </c>
      <c r="W369" s="3" t="s">
        <v>112</v>
      </c>
      <c r="X369" s="3" t="s">
        <v>98</v>
      </c>
      <c r="Y369" s="3" t="s">
        <v>363</v>
      </c>
      <c r="Z369" s="3">
        <v>100</v>
      </c>
      <c r="AA369" s="3">
        <v>0</v>
      </c>
      <c r="AB369" s="11" t="s">
        <v>397</v>
      </c>
    </row>
    <row r="370" spans="1:28">
      <c r="A370" s="3" t="s">
        <v>384</v>
      </c>
      <c r="B370" s="3" t="s">
        <v>234</v>
      </c>
      <c r="C370" s="3">
        <v>6</v>
      </c>
      <c r="D370" s="3" t="s">
        <v>235</v>
      </c>
      <c r="E370" s="3">
        <v>2.9</v>
      </c>
      <c r="F370" s="3">
        <v>2016</v>
      </c>
      <c r="G370" s="4">
        <v>3.1185200000000002</v>
      </c>
      <c r="H370" s="3">
        <v>40</v>
      </c>
      <c r="I370" s="4">
        <f t="shared" si="55"/>
        <v>0.7551519052482073</v>
      </c>
      <c r="J370" s="4">
        <v>0.11939999999999973</v>
      </c>
      <c r="K370" s="4">
        <v>2.7594599999999998</v>
      </c>
      <c r="L370" s="3">
        <v>40</v>
      </c>
      <c r="M370" s="4">
        <f t="shared" si="54"/>
        <v>1.0913020205241091</v>
      </c>
      <c r="N370" s="4">
        <v>0.1725500000000002</v>
      </c>
      <c r="O370" s="4">
        <f t="shared" si="51"/>
        <v>-0.12232352189045952</v>
      </c>
      <c r="P370" s="4">
        <f t="shared" si="52"/>
        <v>5.3759691313940063E-3</v>
      </c>
      <c r="Q370" s="3" t="s">
        <v>289</v>
      </c>
      <c r="R370" s="3" t="s">
        <v>96</v>
      </c>
      <c r="S370" s="3" t="s">
        <v>221</v>
      </c>
      <c r="T370" s="3" t="s">
        <v>97</v>
      </c>
      <c r="U370" s="3" t="s">
        <v>165</v>
      </c>
      <c r="V370" s="3" t="s">
        <v>165</v>
      </c>
      <c r="W370" s="3" t="s">
        <v>112</v>
      </c>
      <c r="X370" s="3" t="s">
        <v>99</v>
      </c>
      <c r="Y370" s="3" t="s">
        <v>363</v>
      </c>
      <c r="Z370" s="3">
        <v>100</v>
      </c>
      <c r="AA370" s="3">
        <v>0</v>
      </c>
      <c r="AB370" s="11" t="s">
        <v>397</v>
      </c>
    </row>
    <row r="371" spans="1:28">
      <c r="A371" s="3" t="s">
        <v>384</v>
      </c>
      <c r="B371" s="3" t="s">
        <v>234</v>
      </c>
      <c r="C371" s="3">
        <v>7</v>
      </c>
      <c r="D371" s="3" t="s">
        <v>235</v>
      </c>
      <c r="E371" s="3">
        <v>2.9</v>
      </c>
      <c r="F371" s="3">
        <v>2016</v>
      </c>
      <c r="G371" s="4">
        <v>3.1185200000000002</v>
      </c>
      <c r="H371" s="3">
        <v>40</v>
      </c>
      <c r="I371" s="4">
        <f t="shared" si="55"/>
        <v>0.7551519052482073</v>
      </c>
      <c r="J371" s="4">
        <v>0.11939999999999973</v>
      </c>
      <c r="K371" s="4">
        <v>2.8682500000000002</v>
      </c>
      <c r="L371" s="3">
        <v>40</v>
      </c>
      <c r="M371" s="4">
        <f t="shared" si="54"/>
        <v>0.69608055855626261</v>
      </c>
      <c r="N371" s="4">
        <v>0.11005999999999982</v>
      </c>
      <c r="O371" s="4">
        <f t="shared" si="51"/>
        <v>-8.3656442606106204E-2</v>
      </c>
      <c r="P371" s="4">
        <f t="shared" si="52"/>
        <v>2.9383217427987503E-3</v>
      </c>
      <c r="Q371" s="3" t="s">
        <v>289</v>
      </c>
      <c r="R371" s="3" t="s">
        <v>96</v>
      </c>
      <c r="S371" s="3" t="s">
        <v>221</v>
      </c>
      <c r="T371" s="3" t="s">
        <v>97</v>
      </c>
      <c r="U371" s="3" t="s">
        <v>165</v>
      </c>
      <c r="V371" s="3" t="s">
        <v>165</v>
      </c>
      <c r="W371" s="3" t="s">
        <v>112</v>
      </c>
      <c r="X371" s="3" t="s">
        <v>98</v>
      </c>
      <c r="Y371" s="3" t="s">
        <v>363</v>
      </c>
      <c r="Z371" s="3">
        <v>100</v>
      </c>
      <c r="AA371" s="3">
        <v>0</v>
      </c>
      <c r="AB371" s="11" t="s">
        <v>397</v>
      </c>
    </row>
    <row r="372" spans="1:28">
      <c r="A372" s="3" t="s">
        <v>384</v>
      </c>
      <c r="B372" s="3" t="s">
        <v>234</v>
      </c>
      <c r="C372" s="3">
        <v>8</v>
      </c>
      <c r="D372" s="3" t="s">
        <v>235</v>
      </c>
      <c r="E372" s="3">
        <v>2.9</v>
      </c>
      <c r="F372" s="3">
        <v>2016</v>
      </c>
      <c r="G372" s="4">
        <v>3.1185200000000002</v>
      </c>
      <c r="H372" s="3">
        <v>40</v>
      </c>
      <c r="I372" s="4">
        <f t="shared" si="55"/>
        <v>0.7551519052482073</v>
      </c>
      <c r="J372" s="4">
        <v>0.11939999999999973</v>
      </c>
      <c r="K372" s="4">
        <v>3.0205500000000001</v>
      </c>
      <c r="L372" s="3">
        <v>40</v>
      </c>
      <c r="M372" s="4">
        <f t="shared" si="54"/>
        <v>0.75534164190781861</v>
      </c>
      <c r="N372" s="4">
        <v>0.11942999999999993</v>
      </c>
      <c r="O372" s="4">
        <f t="shared" si="51"/>
        <v>-3.1919596292834536E-2</v>
      </c>
      <c r="P372" s="4">
        <f t="shared" si="52"/>
        <v>3.0292693612054703E-3</v>
      </c>
      <c r="Q372" s="3" t="s">
        <v>289</v>
      </c>
      <c r="R372" s="3" t="s">
        <v>96</v>
      </c>
      <c r="S372" s="3" t="s">
        <v>221</v>
      </c>
      <c r="T372" s="3" t="s">
        <v>97</v>
      </c>
      <c r="U372" s="3" t="s">
        <v>165</v>
      </c>
      <c r="V372" s="3" t="s">
        <v>165</v>
      </c>
      <c r="W372" s="3" t="s">
        <v>112</v>
      </c>
      <c r="X372" s="3" t="s">
        <v>99</v>
      </c>
      <c r="Y372" s="3" t="s">
        <v>363</v>
      </c>
      <c r="Z372" s="3">
        <v>100</v>
      </c>
      <c r="AA372" s="3">
        <v>0</v>
      </c>
      <c r="AB372" s="11" t="s">
        <v>397</v>
      </c>
    </row>
    <row r="373" spans="1:28">
      <c r="A373" s="3" t="s">
        <v>236</v>
      </c>
      <c r="B373" s="3" t="s">
        <v>238</v>
      </c>
      <c r="C373" s="3">
        <v>1</v>
      </c>
      <c r="D373" s="3" t="s">
        <v>239</v>
      </c>
      <c r="E373" s="3">
        <v>1.7</v>
      </c>
      <c r="F373" s="3">
        <v>2025</v>
      </c>
      <c r="G373" s="3">
        <v>3.48204</v>
      </c>
      <c r="H373" s="3">
        <v>18</v>
      </c>
      <c r="I373" s="4">
        <f t="shared" si="55"/>
        <v>0.7161577479857355</v>
      </c>
      <c r="J373" s="4">
        <v>0.16880000000000006</v>
      </c>
      <c r="K373" s="4">
        <v>4.8908899999999997</v>
      </c>
      <c r="L373" s="3">
        <v>18</v>
      </c>
      <c r="M373" s="4">
        <f t="shared" si="54"/>
        <v>0.55858607286612549</v>
      </c>
      <c r="N373" s="4">
        <v>0.13166000000000011</v>
      </c>
      <c r="O373" s="4">
        <f t="shared" si="51"/>
        <v>0.33975596208523495</v>
      </c>
      <c r="P373" s="4">
        <f t="shared" si="52"/>
        <v>3.0747074948117002E-3</v>
      </c>
      <c r="Q373" s="3" t="s">
        <v>325</v>
      </c>
      <c r="R373" s="3" t="s">
        <v>240</v>
      </c>
      <c r="S373" s="3" t="s">
        <v>221</v>
      </c>
      <c r="T373" s="3" t="s">
        <v>97</v>
      </c>
      <c r="U373" s="3" t="s">
        <v>335</v>
      </c>
      <c r="V373" s="3" t="s">
        <v>332</v>
      </c>
      <c r="W373" s="3" t="s">
        <v>112</v>
      </c>
      <c r="X373" s="3" t="s">
        <v>98</v>
      </c>
      <c r="Y373" s="3">
        <v>20</v>
      </c>
      <c r="Z373" s="3">
        <v>2</v>
      </c>
      <c r="AA373" s="3">
        <v>7</v>
      </c>
      <c r="AB373" s="11" t="s">
        <v>397</v>
      </c>
    </row>
    <row r="374" spans="1:28">
      <c r="A374" s="3" t="s">
        <v>236</v>
      </c>
      <c r="B374" s="3" t="s">
        <v>237</v>
      </c>
      <c r="C374" s="3">
        <v>2</v>
      </c>
      <c r="D374" s="3" t="s">
        <v>239</v>
      </c>
      <c r="E374" s="3">
        <v>1.7</v>
      </c>
      <c r="F374" s="3">
        <v>2025</v>
      </c>
      <c r="G374" s="3">
        <v>3.48204</v>
      </c>
      <c r="H374" s="3">
        <v>18</v>
      </c>
      <c r="I374" s="4">
        <f t="shared" si="55"/>
        <v>0.7161577479857355</v>
      </c>
      <c r="J374" s="4">
        <v>0.16880000000000006</v>
      </c>
      <c r="K374" s="4">
        <v>5.19015</v>
      </c>
      <c r="L374" s="3">
        <v>18</v>
      </c>
      <c r="M374" s="4">
        <f t="shared" si="54"/>
        <v>1.0165791350406512</v>
      </c>
      <c r="N374" s="4">
        <v>0.23960999999999988</v>
      </c>
      <c r="O374" s="4">
        <f t="shared" si="51"/>
        <v>0.39914426956346405</v>
      </c>
      <c r="P374" s="4">
        <f t="shared" si="52"/>
        <v>4.4813783292639211E-3</v>
      </c>
      <c r="Q374" s="3" t="s">
        <v>325</v>
      </c>
      <c r="R374" s="3" t="s">
        <v>240</v>
      </c>
      <c r="S374" s="3" t="s">
        <v>221</v>
      </c>
      <c r="T374" s="3" t="s">
        <v>97</v>
      </c>
      <c r="U374" s="3" t="s">
        <v>337</v>
      </c>
      <c r="V374" s="3" t="s">
        <v>332</v>
      </c>
      <c r="W374" s="3" t="s">
        <v>112</v>
      </c>
      <c r="X374" s="3" t="s">
        <v>98</v>
      </c>
      <c r="Y374" s="3">
        <v>20</v>
      </c>
      <c r="Z374" s="3">
        <v>2</v>
      </c>
      <c r="AA374" s="3">
        <v>7</v>
      </c>
      <c r="AB374" s="11" t="s">
        <v>397</v>
      </c>
    </row>
    <row r="375" spans="1:28">
      <c r="A375" s="3" t="s">
        <v>236</v>
      </c>
      <c r="B375" s="3" t="s">
        <v>237</v>
      </c>
      <c r="C375" s="3">
        <v>3</v>
      </c>
      <c r="D375" s="3" t="s">
        <v>239</v>
      </c>
      <c r="E375" s="3">
        <v>1.7</v>
      </c>
      <c r="F375" s="3">
        <v>2025</v>
      </c>
      <c r="G375" s="3">
        <v>3.46136</v>
      </c>
      <c r="H375" s="3">
        <v>18</v>
      </c>
      <c r="I375" s="4">
        <f t="shared" si="55"/>
        <v>0.81030194483291307</v>
      </c>
      <c r="J375" s="4">
        <v>0.19099000000000022</v>
      </c>
      <c r="K375" s="4">
        <v>6.4348799999999997</v>
      </c>
      <c r="L375" s="3">
        <v>18</v>
      </c>
      <c r="M375" s="4">
        <f t="shared" si="54"/>
        <v>1.0626966393096404</v>
      </c>
      <c r="N375" s="4">
        <v>0.25048000000000048</v>
      </c>
      <c r="O375" s="4">
        <f t="shared" si="51"/>
        <v>0.62007161743137129</v>
      </c>
      <c r="P375" s="4">
        <f t="shared" si="52"/>
        <v>4.5597656884997263E-3</v>
      </c>
      <c r="Q375" s="3" t="s">
        <v>325</v>
      </c>
      <c r="R375" s="3" t="s">
        <v>240</v>
      </c>
      <c r="S375" s="3" t="s">
        <v>221</v>
      </c>
      <c r="T375" s="3" t="s">
        <v>97</v>
      </c>
      <c r="U375" s="3" t="s">
        <v>335</v>
      </c>
      <c r="V375" s="3" t="s">
        <v>332</v>
      </c>
      <c r="W375" s="3" t="s">
        <v>112</v>
      </c>
      <c r="X375" s="3" t="s">
        <v>98</v>
      </c>
      <c r="Y375" s="3">
        <v>50</v>
      </c>
      <c r="Z375" s="3">
        <v>2</v>
      </c>
      <c r="AA375" s="3">
        <v>7</v>
      </c>
      <c r="AB375" s="11" t="s">
        <v>397</v>
      </c>
    </row>
    <row r="376" spans="1:28">
      <c r="A376" s="3" t="s">
        <v>236</v>
      </c>
      <c r="B376" s="3" t="s">
        <v>237</v>
      </c>
      <c r="C376" s="3">
        <v>4</v>
      </c>
      <c r="D376" s="3" t="s">
        <v>239</v>
      </c>
      <c r="E376" s="3">
        <v>1.7</v>
      </c>
      <c r="F376" s="3">
        <v>2025</v>
      </c>
      <c r="G376" s="3">
        <v>3.46136</v>
      </c>
      <c r="H376" s="3">
        <v>18</v>
      </c>
      <c r="I376" s="4">
        <f t="shared" si="55"/>
        <v>0.81030194483291307</v>
      </c>
      <c r="J376" s="4">
        <v>0.19099000000000022</v>
      </c>
      <c r="K376" s="4">
        <v>5.8738099999999998</v>
      </c>
      <c r="L376" s="3">
        <v>18</v>
      </c>
      <c r="M376" s="4">
        <f t="shared" si="54"/>
        <v>2.370151219859189</v>
      </c>
      <c r="N376" s="4">
        <v>0.55865000000000009</v>
      </c>
      <c r="O376" s="4">
        <f t="shared" si="51"/>
        <v>0.52884191089787091</v>
      </c>
      <c r="P376" s="4">
        <f t="shared" si="52"/>
        <v>1.2090233074738846E-2</v>
      </c>
      <c r="Q376" s="3" t="s">
        <v>325</v>
      </c>
      <c r="R376" s="3" t="s">
        <v>240</v>
      </c>
      <c r="S376" s="3" t="s">
        <v>221</v>
      </c>
      <c r="T376" s="3" t="s">
        <v>97</v>
      </c>
      <c r="U376" s="3" t="s">
        <v>337</v>
      </c>
      <c r="V376" s="3" t="s">
        <v>332</v>
      </c>
      <c r="W376" s="3" t="s">
        <v>112</v>
      </c>
      <c r="X376" s="3" t="s">
        <v>98</v>
      </c>
      <c r="Y376" s="3">
        <v>50</v>
      </c>
      <c r="Z376" s="3">
        <v>2</v>
      </c>
      <c r="AA376" s="3">
        <v>7</v>
      </c>
      <c r="AB376" s="11" t="s">
        <v>397</v>
      </c>
    </row>
    <row r="377" spans="1:28">
      <c r="A377" s="3" t="s">
        <v>236</v>
      </c>
      <c r="B377" s="3" t="s">
        <v>237</v>
      </c>
      <c r="C377" s="3">
        <v>5</v>
      </c>
      <c r="D377" s="3" t="s">
        <v>239</v>
      </c>
      <c r="E377" s="3">
        <v>1.7</v>
      </c>
      <c r="F377" s="3">
        <v>2025</v>
      </c>
      <c r="G377" s="3">
        <v>4.8442400000000001</v>
      </c>
      <c r="H377" s="3">
        <v>18</v>
      </c>
      <c r="I377" s="4">
        <f t="shared" si="55"/>
        <v>2.1581040383169645</v>
      </c>
      <c r="J377" s="4">
        <v>0.50866999999999951</v>
      </c>
      <c r="K377" s="4">
        <v>5.8414999999999999</v>
      </c>
      <c r="L377" s="3">
        <v>18</v>
      </c>
      <c r="M377" s="4">
        <f t="shared" si="54"/>
        <v>0.60729158795425364</v>
      </c>
      <c r="N377" s="4">
        <v>0.14313999999999982</v>
      </c>
      <c r="O377" s="4">
        <f t="shared" si="51"/>
        <v>0.18719724288168169</v>
      </c>
      <c r="P377" s="4">
        <f t="shared" si="52"/>
        <v>1.1626520160255237E-2</v>
      </c>
      <c r="Q377" s="3" t="s">
        <v>325</v>
      </c>
      <c r="R377" s="3" t="s">
        <v>240</v>
      </c>
      <c r="S377" s="3" t="s">
        <v>221</v>
      </c>
      <c r="T377" s="3" t="s">
        <v>97</v>
      </c>
      <c r="U377" s="3" t="s">
        <v>335</v>
      </c>
      <c r="V377" s="3" t="s">
        <v>332</v>
      </c>
      <c r="W377" s="3" t="s">
        <v>112</v>
      </c>
      <c r="X377" s="3" t="s">
        <v>98</v>
      </c>
      <c r="Y377" s="3">
        <v>20</v>
      </c>
      <c r="Z377" s="3">
        <v>2</v>
      </c>
      <c r="AA377" s="3">
        <v>14</v>
      </c>
      <c r="AB377" s="11" t="s">
        <v>397</v>
      </c>
    </row>
    <row r="378" spans="1:28">
      <c r="A378" s="3" t="s">
        <v>236</v>
      </c>
      <c r="B378" s="3" t="s">
        <v>237</v>
      </c>
      <c r="C378" s="3">
        <v>6</v>
      </c>
      <c r="D378" s="3" t="s">
        <v>239</v>
      </c>
      <c r="E378" s="3">
        <v>1.7</v>
      </c>
      <c r="F378" s="3">
        <v>2025</v>
      </c>
      <c r="G378" s="3">
        <v>4.8442400000000001</v>
      </c>
      <c r="H378" s="3">
        <v>18</v>
      </c>
      <c r="I378" s="4">
        <f t="shared" si="55"/>
        <v>2.1581040383169645</v>
      </c>
      <c r="J378" s="4">
        <v>0.50866999999999951</v>
      </c>
      <c r="K378" s="4">
        <v>4.9138400000000004</v>
      </c>
      <c r="L378" s="3">
        <v>18</v>
      </c>
      <c r="M378" s="4">
        <f t="shared" si="54"/>
        <v>1.7199665345581552</v>
      </c>
      <c r="N378" s="4">
        <v>0.40539999999999932</v>
      </c>
      <c r="O378" s="4">
        <f t="shared" si="51"/>
        <v>1.4265343242953695E-2</v>
      </c>
      <c r="P378" s="4">
        <f t="shared" si="52"/>
        <v>1.7832600464976745E-2</v>
      </c>
      <c r="Q378" s="3" t="s">
        <v>325</v>
      </c>
      <c r="R378" s="3" t="s">
        <v>240</v>
      </c>
      <c r="S378" s="3" t="s">
        <v>221</v>
      </c>
      <c r="T378" s="3" t="s">
        <v>97</v>
      </c>
      <c r="U378" s="3" t="s">
        <v>337</v>
      </c>
      <c r="V378" s="3" t="s">
        <v>332</v>
      </c>
      <c r="W378" s="3" t="s">
        <v>112</v>
      </c>
      <c r="X378" s="3" t="s">
        <v>98</v>
      </c>
      <c r="Y378" s="3">
        <v>20</v>
      </c>
      <c r="Z378" s="3">
        <v>2</v>
      </c>
      <c r="AA378" s="3">
        <v>14</v>
      </c>
      <c r="AB378" s="11" t="s">
        <v>397</v>
      </c>
    </row>
    <row r="379" spans="1:28">
      <c r="A379" s="3" t="s">
        <v>236</v>
      </c>
      <c r="B379" s="3" t="s">
        <v>237</v>
      </c>
      <c r="C379" s="3">
        <v>7</v>
      </c>
      <c r="D379" s="3" t="s">
        <v>239</v>
      </c>
      <c r="E379" s="3">
        <v>1.7</v>
      </c>
      <c r="F379" s="3">
        <v>2025</v>
      </c>
      <c r="G379" s="3">
        <v>4.8190200000000001</v>
      </c>
      <c r="H379" s="3">
        <v>18</v>
      </c>
      <c r="I379" s="4">
        <f t="shared" si="55"/>
        <v>2.3771940033998078</v>
      </c>
      <c r="J379" s="4">
        <v>0.56031000000000031</v>
      </c>
      <c r="K379" s="4">
        <v>6.4539</v>
      </c>
      <c r="L379" s="3">
        <v>18</v>
      </c>
      <c r="M379" s="4">
        <f t="shared" si="54"/>
        <v>2.022339536329151</v>
      </c>
      <c r="N379" s="4">
        <v>0.47667000000000037</v>
      </c>
      <c r="O379" s="4">
        <f t="shared" si="51"/>
        <v>0.2921140113543893</v>
      </c>
      <c r="P379" s="4">
        <f t="shared" si="52"/>
        <v>1.8973790731168082E-2</v>
      </c>
      <c r="Q379" s="3" t="s">
        <v>325</v>
      </c>
      <c r="R379" s="3" t="s">
        <v>240</v>
      </c>
      <c r="S379" s="3" t="s">
        <v>221</v>
      </c>
      <c r="T379" s="3" t="s">
        <v>97</v>
      </c>
      <c r="U379" s="3" t="s">
        <v>335</v>
      </c>
      <c r="V379" s="3" t="s">
        <v>332</v>
      </c>
      <c r="W379" s="3" t="s">
        <v>112</v>
      </c>
      <c r="X379" s="3" t="s">
        <v>98</v>
      </c>
      <c r="Y379" s="3">
        <v>50</v>
      </c>
      <c r="Z379" s="3">
        <v>2</v>
      </c>
      <c r="AA379" s="3">
        <v>14</v>
      </c>
      <c r="AB379" s="11" t="s">
        <v>397</v>
      </c>
    </row>
    <row r="380" spans="1:28">
      <c r="A380" s="3" t="s">
        <v>236</v>
      </c>
      <c r="B380" s="3" t="s">
        <v>237</v>
      </c>
      <c r="C380" s="3">
        <v>8</v>
      </c>
      <c r="D380" s="3" t="s">
        <v>239</v>
      </c>
      <c r="E380" s="3">
        <v>1.7</v>
      </c>
      <c r="F380" s="3">
        <v>2025</v>
      </c>
      <c r="G380" s="3">
        <v>4.8190200000000001</v>
      </c>
      <c r="H380" s="3">
        <v>18</v>
      </c>
      <c r="I380" s="4">
        <f t="shared" si="55"/>
        <v>2.3771940033998078</v>
      </c>
      <c r="J380" s="4">
        <v>0.56031000000000031</v>
      </c>
      <c r="K380" s="4">
        <v>6.0346099999999998</v>
      </c>
      <c r="L380" s="3">
        <v>18</v>
      </c>
      <c r="M380" s="4">
        <f t="shared" si="54"/>
        <v>4.1791707824399831</v>
      </c>
      <c r="N380" s="4">
        <v>0.98504000000000058</v>
      </c>
      <c r="O380" s="4">
        <f t="shared" si="51"/>
        <v>0.22494064154080287</v>
      </c>
      <c r="P380" s="4">
        <f t="shared" si="52"/>
        <v>4.0163442555054413E-2</v>
      </c>
      <c r="Q380" s="3" t="s">
        <v>325</v>
      </c>
      <c r="R380" s="3" t="s">
        <v>240</v>
      </c>
      <c r="S380" s="3" t="s">
        <v>221</v>
      </c>
      <c r="T380" s="3" t="s">
        <v>97</v>
      </c>
      <c r="U380" s="3" t="s">
        <v>337</v>
      </c>
      <c r="V380" s="3" t="s">
        <v>332</v>
      </c>
      <c r="W380" s="3" t="s">
        <v>112</v>
      </c>
      <c r="X380" s="3" t="s">
        <v>98</v>
      </c>
      <c r="Y380" s="3">
        <v>50</v>
      </c>
      <c r="Z380" s="3">
        <v>2</v>
      </c>
      <c r="AA380" s="3">
        <v>14</v>
      </c>
      <c r="AB380" s="11" t="s">
        <v>397</v>
      </c>
    </row>
    <row r="381" spans="1:28">
      <c r="A381" s="3" t="s">
        <v>236</v>
      </c>
      <c r="B381" s="3" t="s">
        <v>237</v>
      </c>
      <c r="C381" s="3">
        <v>9</v>
      </c>
      <c r="D381" s="3" t="s">
        <v>239</v>
      </c>
      <c r="E381" s="3">
        <v>1.7</v>
      </c>
      <c r="F381" s="3">
        <v>2025</v>
      </c>
      <c r="G381" s="3">
        <v>5.0133400000000004</v>
      </c>
      <c r="H381" s="3">
        <v>18</v>
      </c>
      <c r="I381" s="4">
        <f t="shared" si="55"/>
        <v>1.1639684725111723</v>
      </c>
      <c r="J381" s="4">
        <v>0.27434999999999921</v>
      </c>
      <c r="K381" s="4">
        <v>4.5534400000000002</v>
      </c>
      <c r="L381" s="3">
        <v>18</v>
      </c>
      <c r="M381" s="4">
        <f t="shared" si="54"/>
        <v>2.2208951204863308</v>
      </c>
      <c r="N381" s="4">
        <v>0.52346999999999966</v>
      </c>
      <c r="O381" s="4">
        <f t="shared" si="51"/>
        <v>-9.6219368378292189E-2</v>
      </c>
      <c r="P381" s="4">
        <f t="shared" si="52"/>
        <v>1.6210847489169237E-2</v>
      </c>
      <c r="Q381" s="3" t="s">
        <v>325</v>
      </c>
      <c r="R381" s="3" t="s">
        <v>240</v>
      </c>
      <c r="S381" s="3" t="s">
        <v>221</v>
      </c>
      <c r="T381" s="3" t="s">
        <v>97</v>
      </c>
      <c r="U381" s="3" t="s">
        <v>335</v>
      </c>
      <c r="V381" s="3" t="s">
        <v>332</v>
      </c>
      <c r="W381" s="3" t="s">
        <v>112</v>
      </c>
      <c r="X381" s="3" t="s">
        <v>98</v>
      </c>
      <c r="Y381" s="3">
        <v>20</v>
      </c>
      <c r="Z381" s="3">
        <v>2</v>
      </c>
      <c r="AA381" s="3">
        <v>21</v>
      </c>
      <c r="AB381" s="11" t="s">
        <v>397</v>
      </c>
    </row>
    <row r="382" spans="1:28">
      <c r="A382" s="3" t="s">
        <v>236</v>
      </c>
      <c r="B382" s="3" t="s">
        <v>237</v>
      </c>
      <c r="C382" s="3">
        <v>10</v>
      </c>
      <c r="D382" s="3" t="s">
        <v>239</v>
      </c>
      <c r="E382" s="3">
        <v>1.7</v>
      </c>
      <c r="F382" s="3">
        <v>2025</v>
      </c>
      <c r="G382" s="3">
        <v>5.0133400000000004</v>
      </c>
      <c r="H382" s="3">
        <v>18</v>
      </c>
      <c r="I382" s="4">
        <f t="shared" si="55"/>
        <v>1.1639684725111723</v>
      </c>
      <c r="J382" s="4">
        <v>0.27434999999999921</v>
      </c>
      <c r="K382" s="4">
        <v>4.2916299999999996</v>
      </c>
      <c r="L382" s="3">
        <v>18</v>
      </c>
      <c r="M382" s="4">
        <f t="shared" si="54"/>
        <v>4.0926633388296212</v>
      </c>
      <c r="N382" s="4">
        <v>0.96465000000000067</v>
      </c>
      <c r="O382" s="4">
        <f t="shared" si="51"/>
        <v>-0.15543574548406192</v>
      </c>
      <c r="P382" s="4">
        <f t="shared" si="52"/>
        <v>5.3518397696210834E-2</v>
      </c>
      <c r="Q382" s="3" t="s">
        <v>325</v>
      </c>
      <c r="R382" s="3" t="s">
        <v>240</v>
      </c>
      <c r="S382" s="3" t="s">
        <v>221</v>
      </c>
      <c r="T382" s="3" t="s">
        <v>97</v>
      </c>
      <c r="U382" s="3" t="s">
        <v>337</v>
      </c>
      <c r="V382" s="3" t="s">
        <v>332</v>
      </c>
      <c r="W382" s="3" t="s">
        <v>112</v>
      </c>
      <c r="X382" s="3" t="s">
        <v>98</v>
      </c>
      <c r="Y382" s="3">
        <v>20</v>
      </c>
      <c r="Z382" s="3">
        <v>2</v>
      </c>
      <c r="AA382" s="3">
        <v>21</v>
      </c>
      <c r="AB382" s="11" t="s">
        <v>397</v>
      </c>
    </row>
    <row r="383" spans="1:28">
      <c r="A383" s="3" t="s">
        <v>236</v>
      </c>
      <c r="B383" s="3" t="s">
        <v>237</v>
      </c>
      <c r="C383" s="3">
        <v>11</v>
      </c>
      <c r="D383" s="3" t="s">
        <v>239</v>
      </c>
      <c r="E383" s="3">
        <v>1.7</v>
      </c>
      <c r="F383" s="3">
        <v>2025</v>
      </c>
      <c r="G383" s="3">
        <v>4.9890299999999996</v>
      </c>
      <c r="H383" s="3">
        <v>18</v>
      </c>
      <c r="I383" s="4">
        <f t="shared" si="55"/>
        <v>1.1639684725111761</v>
      </c>
      <c r="J383" s="4">
        <v>0.27435000000000009</v>
      </c>
      <c r="K383" s="4">
        <v>4.27623</v>
      </c>
      <c r="L383" s="3">
        <v>18</v>
      </c>
      <c r="M383" s="4">
        <f t="shared" si="54"/>
        <v>1.9710460104218763</v>
      </c>
      <c r="N383" s="4">
        <v>0.46457999999999977</v>
      </c>
      <c r="O383" s="4">
        <f t="shared" si="51"/>
        <v>-0.15416972178621544</v>
      </c>
      <c r="P383" s="4">
        <f t="shared" si="52"/>
        <v>1.4827148190161779E-2</v>
      </c>
      <c r="Q383" s="3" t="s">
        <v>325</v>
      </c>
      <c r="R383" s="3" t="s">
        <v>240</v>
      </c>
      <c r="S383" s="3" t="s">
        <v>221</v>
      </c>
      <c r="T383" s="3" t="s">
        <v>97</v>
      </c>
      <c r="U383" s="3" t="s">
        <v>335</v>
      </c>
      <c r="V383" s="3" t="s">
        <v>332</v>
      </c>
      <c r="W383" s="3" t="s">
        <v>112</v>
      </c>
      <c r="X383" s="3" t="s">
        <v>98</v>
      </c>
      <c r="Y383" s="3">
        <v>50</v>
      </c>
      <c r="Z383" s="3">
        <v>2</v>
      </c>
      <c r="AA383" s="3">
        <v>21</v>
      </c>
      <c r="AB383" s="11" t="s">
        <v>397</v>
      </c>
    </row>
    <row r="384" spans="1:28">
      <c r="A384" s="3" t="s">
        <v>236</v>
      </c>
      <c r="B384" s="3" t="s">
        <v>237</v>
      </c>
      <c r="C384" s="3">
        <v>12</v>
      </c>
      <c r="D384" s="3" t="s">
        <v>239</v>
      </c>
      <c r="E384" s="3">
        <v>1.7</v>
      </c>
      <c r="F384" s="3">
        <v>2025</v>
      </c>
      <c r="G384" s="3">
        <v>4.9890299999999996</v>
      </c>
      <c r="H384" s="3">
        <v>18</v>
      </c>
      <c r="I384" s="4">
        <f t="shared" si="55"/>
        <v>1.1639684725111761</v>
      </c>
      <c r="J384" s="4">
        <v>0.27435000000000009</v>
      </c>
      <c r="K384" s="4">
        <v>3.7816000000000001</v>
      </c>
      <c r="L384" s="3">
        <v>18</v>
      </c>
      <c r="M384" s="4">
        <f t="shared" si="54"/>
        <v>2.7858875807900088</v>
      </c>
      <c r="N384" s="4">
        <v>0.65664000000000033</v>
      </c>
      <c r="O384" s="4">
        <f t="shared" ref="O384:O447" si="56">LN(K384/G384)</f>
        <v>-0.27709430159303533</v>
      </c>
      <c r="P384" s="4">
        <f t="shared" si="52"/>
        <v>3.3175094429811557E-2</v>
      </c>
      <c r="Q384" s="3" t="s">
        <v>325</v>
      </c>
      <c r="R384" s="3" t="s">
        <v>240</v>
      </c>
      <c r="S384" s="3" t="s">
        <v>221</v>
      </c>
      <c r="T384" s="3" t="s">
        <v>97</v>
      </c>
      <c r="U384" s="3" t="s">
        <v>337</v>
      </c>
      <c r="V384" s="3" t="s">
        <v>332</v>
      </c>
      <c r="W384" s="3" t="s">
        <v>112</v>
      </c>
      <c r="X384" s="3" t="s">
        <v>98</v>
      </c>
      <c r="Y384" s="3">
        <v>50</v>
      </c>
      <c r="Z384" s="3">
        <v>2</v>
      </c>
      <c r="AA384" s="3">
        <v>21</v>
      </c>
      <c r="AB384" s="11" t="s">
        <v>397</v>
      </c>
    </row>
    <row r="385" spans="1:28">
      <c r="A385" s="3" t="s">
        <v>383</v>
      </c>
      <c r="B385" s="3" t="s">
        <v>393</v>
      </c>
      <c r="C385" s="3">
        <v>1</v>
      </c>
      <c r="D385" s="3" t="s">
        <v>241</v>
      </c>
      <c r="E385" s="3">
        <v>4.7</v>
      </c>
      <c r="F385" s="3">
        <v>2013</v>
      </c>
      <c r="G385" s="4">
        <v>32.373710000000003</v>
      </c>
      <c r="H385" s="3">
        <v>10</v>
      </c>
      <c r="I385" s="4">
        <f t="shared" si="55"/>
        <v>10.072897899264145</v>
      </c>
      <c r="J385" s="4">
        <v>3.1853300000000004</v>
      </c>
      <c r="K385" s="4">
        <v>67.379289999999997</v>
      </c>
      <c r="L385" s="3">
        <v>10</v>
      </c>
      <c r="M385" s="4">
        <f t="shared" si="54"/>
        <v>22.341839519632234</v>
      </c>
      <c r="N385" s="4">
        <v>7.0651100000000042</v>
      </c>
      <c r="O385" s="4">
        <f t="shared" si="56"/>
        <v>0.73299102700547869</v>
      </c>
      <c r="P385" s="4">
        <f t="shared" si="52"/>
        <v>2.0675823265526118E-2</v>
      </c>
      <c r="Q385" s="3" t="s">
        <v>294</v>
      </c>
      <c r="R385" s="3" t="s">
        <v>242</v>
      </c>
      <c r="S385" s="3" t="s">
        <v>222</v>
      </c>
      <c r="T385" s="3" t="s">
        <v>8</v>
      </c>
      <c r="U385" s="3" t="s">
        <v>165</v>
      </c>
      <c r="V385" s="3" t="s">
        <v>332</v>
      </c>
      <c r="W385" s="3" t="s">
        <v>112</v>
      </c>
      <c r="X385" s="3" t="s">
        <v>98</v>
      </c>
      <c r="Y385" s="3" t="s">
        <v>363</v>
      </c>
      <c r="Z385" s="3">
        <v>6</v>
      </c>
      <c r="AA385" s="3">
        <v>0</v>
      </c>
      <c r="AB385" s="11" t="s">
        <v>398</v>
      </c>
    </row>
    <row r="386" spans="1:28">
      <c r="A386" s="3" t="s">
        <v>383</v>
      </c>
      <c r="B386" s="3" t="s">
        <v>393</v>
      </c>
      <c r="C386" s="3">
        <v>2</v>
      </c>
      <c r="D386" s="3" t="s">
        <v>241</v>
      </c>
      <c r="E386" s="3">
        <v>4.7</v>
      </c>
      <c r="F386" s="3">
        <v>2013</v>
      </c>
      <c r="G386" s="4">
        <v>32.373710000000003</v>
      </c>
      <c r="H386" s="3">
        <v>10</v>
      </c>
      <c r="I386" s="4">
        <f t="shared" si="55"/>
        <v>10.072897899264145</v>
      </c>
      <c r="J386" s="4">
        <v>3.1853300000000004</v>
      </c>
      <c r="K386" s="4">
        <v>49.305410000000002</v>
      </c>
      <c r="L386" s="3">
        <v>10</v>
      </c>
      <c r="M386" s="4">
        <f t="shared" si="54"/>
        <v>15.971399550446405</v>
      </c>
      <c r="N386" s="4">
        <v>5.0505999999999958</v>
      </c>
      <c r="O386" s="4">
        <f t="shared" si="56"/>
        <v>0.42068713767037175</v>
      </c>
      <c r="P386" s="4">
        <f t="shared" ref="P386:P449" si="57">(M386^2)/(L386*(K386^2)) + (I386^2)/(H386*(G386^2))</f>
        <v>2.0174013050957174E-2</v>
      </c>
      <c r="Q386" s="3" t="s">
        <v>294</v>
      </c>
      <c r="R386" s="3" t="s">
        <v>242</v>
      </c>
      <c r="S386" s="3" t="s">
        <v>222</v>
      </c>
      <c r="T386" s="3" t="s">
        <v>8</v>
      </c>
      <c r="U386" s="3" t="s">
        <v>165</v>
      </c>
      <c r="V386" s="3" t="s">
        <v>332</v>
      </c>
      <c r="W386" s="3" t="s">
        <v>112</v>
      </c>
      <c r="X386" s="3" t="s">
        <v>98</v>
      </c>
      <c r="Y386" s="3" t="s">
        <v>363</v>
      </c>
      <c r="Z386" s="3">
        <v>6</v>
      </c>
      <c r="AA386" s="3">
        <v>0</v>
      </c>
      <c r="AB386" s="11" t="s">
        <v>398</v>
      </c>
    </row>
    <row r="387" spans="1:28">
      <c r="A387" s="3" t="s">
        <v>383</v>
      </c>
      <c r="B387" s="3" t="s">
        <v>393</v>
      </c>
      <c r="C387" s="3">
        <v>3</v>
      </c>
      <c r="D387" s="3" t="s">
        <v>241</v>
      </c>
      <c r="E387" s="3">
        <v>4.7</v>
      </c>
      <c r="F387" s="3">
        <v>2013</v>
      </c>
      <c r="G387" s="4">
        <v>31.396750000000001</v>
      </c>
      <c r="H387" s="3">
        <v>10</v>
      </c>
      <c r="I387" s="4">
        <f t="shared" si="55"/>
        <v>9.9805910143638208</v>
      </c>
      <c r="J387" s="4">
        <v>3.1561399999999971</v>
      </c>
      <c r="K387" s="4">
        <v>57.189979999999998</v>
      </c>
      <c r="L387" s="3">
        <v>10</v>
      </c>
      <c r="M387" s="4">
        <f t="shared" si="54"/>
        <v>21.283014090678044</v>
      </c>
      <c r="N387" s="4">
        <v>6.7302800000000005</v>
      </c>
      <c r="O387" s="4">
        <f t="shared" si="56"/>
        <v>0.59967432384300556</v>
      </c>
      <c r="P387" s="4">
        <f t="shared" si="57"/>
        <v>2.3954412332260928E-2</v>
      </c>
      <c r="Q387" s="3" t="s">
        <v>294</v>
      </c>
      <c r="R387" s="3" t="s">
        <v>242</v>
      </c>
      <c r="S387" s="3" t="s">
        <v>222</v>
      </c>
      <c r="T387" s="3" t="s">
        <v>8</v>
      </c>
      <c r="U387" s="3" t="s">
        <v>165</v>
      </c>
      <c r="V387" s="3" t="s">
        <v>332</v>
      </c>
      <c r="W387" s="3" t="s">
        <v>112</v>
      </c>
      <c r="X387" s="3" t="s">
        <v>98</v>
      </c>
      <c r="Y387" s="3" t="s">
        <v>363</v>
      </c>
      <c r="Z387" s="3">
        <v>6</v>
      </c>
      <c r="AA387" s="3">
        <v>0</v>
      </c>
      <c r="AB387" s="11" t="s">
        <v>398</v>
      </c>
    </row>
    <row r="388" spans="1:28">
      <c r="A388" s="3" t="s">
        <v>383</v>
      </c>
      <c r="B388" s="3" t="s">
        <v>393</v>
      </c>
      <c r="C388" s="3">
        <v>4</v>
      </c>
      <c r="D388" s="3" t="s">
        <v>241</v>
      </c>
      <c r="E388" s="3">
        <v>4.7</v>
      </c>
      <c r="F388" s="3">
        <v>2013</v>
      </c>
      <c r="G388" s="4">
        <v>31.396750000000001</v>
      </c>
      <c r="H388" s="3">
        <v>10</v>
      </c>
      <c r="I388" s="4">
        <f t="shared" si="55"/>
        <v>9.9805910143638208</v>
      </c>
      <c r="J388" s="4">
        <v>3.1561399999999971</v>
      </c>
      <c r="K388" s="4">
        <v>41.66095</v>
      </c>
      <c r="L388" s="3">
        <v>10</v>
      </c>
      <c r="M388" s="4">
        <f t="shared" ref="M388:M394" si="58" xml:space="preserve"> N388 * SQRT(L388)</f>
        <v>15.013577269958011</v>
      </c>
      <c r="N388" s="4">
        <v>4.7477099999999979</v>
      </c>
      <c r="O388" s="4">
        <f t="shared" si="56"/>
        <v>0.28285985484874043</v>
      </c>
      <c r="P388" s="4">
        <f t="shared" si="57"/>
        <v>2.3092194019467858E-2</v>
      </c>
      <c r="Q388" s="3" t="s">
        <v>294</v>
      </c>
      <c r="R388" s="3" t="s">
        <v>242</v>
      </c>
      <c r="S388" s="3" t="s">
        <v>222</v>
      </c>
      <c r="T388" s="3" t="s">
        <v>8</v>
      </c>
      <c r="U388" s="3" t="s">
        <v>165</v>
      </c>
      <c r="V388" s="3" t="s">
        <v>332</v>
      </c>
      <c r="W388" s="3" t="s">
        <v>112</v>
      </c>
      <c r="X388" s="3" t="s">
        <v>98</v>
      </c>
      <c r="Y388" s="3" t="s">
        <v>363</v>
      </c>
      <c r="Z388" s="3">
        <v>6</v>
      </c>
      <c r="AA388" s="3">
        <v>0</v>
      </c>
      <c r="AB388" s="11" t="s">
        <v>398</v>
      </c>
    </row>
    <row r="389" spans="1:28">
      <c r="A389" s="3" t="s">
        <v>383</v>
      </c>
      <c r="B389" s="3" t="s">
        <v>393</v>
      </c>
      <c r="C389" s="3">
        <v>5</v>
      </c>
      <c r="D389" s="3" t="s">
        <v>241</v>
      </c>
      <c r="E389" s="3">
        <v>4.7</v>
      </c>
      <c r="F389" s="3">
        <v>2013</v>
      </c>
      <c r="G389" s="4">
        <v>29.749559999999999</v>
      </c>
      <c r="H389" s="3">
        <v>10</v>
      </c>
      <c r="I389" s="4">
        <f t="shared" si="55"/>
        <v>8.853839861269245</v>
      </c>
      <c r="J389" s="4">
        <v>2.7998300000000036</v>
      </c>
      <c r="K389" s="4">
        <v>50.99335</v>
      </c>
      <c r="L389" s="3">
        <v>10</v>
      </c>
      <c r="M389" s="4">
        <f t="shared" si="58"/>
        <v>22.251271887445</v>
      </c>
      <c r="N389" s="4">
        <v>7.0364700000000013</v>
      </c>
      <c r="O389" s="4">
        <f t="shared" si="56"/>
        <v>0.53888089009936624</v>
      </c>
      <c r="P389" s="4">
        <f t="shared" si="57"/>
        <v>2.7898003974849782E-2</v>
      </c>
      <c r="Q389" s="3" t="s">
        <v>294</v>
      </c>
      <c r="R389" s="3" t="s">
        <v>242</v>
      </c>
      <c r="S389" s="3" t="s">
        <v>222</v>
      </c>
      <c r="T389" s="3" t="s">
        <v>8</v>
      </c>
      <c r="U389" s="3" t="s">
        <v>165</v>
      </c>
      <c r="V389" s="3" t="s">
        <v>332</v>
      </c>
      <c r="W389" s="3" t="s">
        <v>112</v>
      </c>
      <c r="X389" s="3" t="s">
        <v>98</v>
      </c>
      <c r="Y389" s="3" t="s">
        <v>363</v>
      </c>
      <c r="Z389" s="3">
        <v>6</v>
      </c>
      <c r="AA389" s="3">
        <v>0</v>
      </c>
      <c r="AB389" s="11" t="s">
        <v>398</v>
      </c>
    </row>
    <row r="390" spans="1:28">
      <c r="A390" s="3" t="s">
        <v>383</v>
      </c>
      <c r="B390" s="3" t="s">
        <v>393</v>
      </c>
      <c r="C390" s="3">
        <v>6</v>
      </c>
      <c r="D390" s="3" t="s">
        <v>241</v>
      </c>
      <c r="E390" s="3">
        <v>4.7</v>
      </c>
      <c r="F390" s="3">
        <v>2013</v>
      </c>
      <c r="G390" s="4">
        <v>29.749559999999999</v>
      </c>
      <c r="H390" s="3">
        <v>10</v>
      </c>
      <c r="I390" s="4">
        <f t="shared" si="55"/>
        <v>8.853839861269245</v>
      </c>
      <c r="J390" s="4">
        <v>2.7998300000000036</v>
      </c>
      <c r="K390" s="4">
        <v>39.787419999999997</v>
      </c>
      <c r="L390" s="3">
        <v>10</v>
      </c>
      <c r="M390" s="4">
        <f t="shared" si="58"/>
        <v>15.957485528741696</v>
      </c>
      <c r="N390" s="4">
        <v>5.046200000000006</v>
      </c>
      <c r="O390" s="4">
        <f t="shared" si="56"/>
        <v>0.29073643995814252</v>
      </c>
      <c r="P390" s="4">
        <f t="shared" si="57"/>
        <v>2.4942921471490007E-2</v>
      </c>
      <c r="Q390" s="3" t="s">
        <v>294</v>
      </c>
      <c r="R390" s="3" t="s">
        <v>242</v>
      </c>
      <c r="S390" s="3" t="s">
        <v>222</v>
      </c>
      <c r="T390" s="3" t="s">
        <v>8</v>
      </c>
      <c r="U390" s="3" t="s">
        <v>165</v>
      </c>
      <c r="V390" s="3" t="s">
        <v>332</v>
      </c>
      <c r="W390" s="3" t="s">
        <v>112</v>
      </c>
      <c r="X390" s="3" t="s">
        <v>98</v>
      </c>
      <c r="Y390" s="3" t="s">
        <v>363</v>
      </c>
      <c r="Z390" s="3">
        <v>6</v>
      </c>
      <c r="AA390" s="3">
        <v>0</v>
      </c>
      <c r="AB390" s="11" t="s">
        <v>398</v>
      </c>
    </row>
    <row r="391" spans="1:28">
      <c r="A391" s="3" t="s">
        <v>383</v>
      </c>
      <c r="B391" s="3" t="s">
        <v>393</v>
      </c>
      <c r="C391" s="3">
        <v>7</v>
      </c>
      <c r="D391" s="3" t="s">
        <v>241</v>
      </c>
      <c r="E391" s="3">
        <v>4.7</v>
      </c>
      <c r="F391" s="3">
        <v>2013</v>
      </c>
      <c r="G391" s="4">
        <v>24.33605</v>
      </c>
      <c r="H391" s="3">
        <v>10</v>
      </c>
      <c r="I391" s="4">
        <f t="shared" si="55"/>
        <v>9.16206706480585</v>
      </c>
      <c r="J391" s="4">
        <v>2.8973000000000013</v>
      </c>
      <c r="K391" s="4">
        <v>43.136870000000002</v>
      </c>
      <c r="L391" s="3">
        <v>10</v>
      </c>
      <c r="M391" s="4">
        <f t="shared" si="58"/>
        <v>21.747963775052604</v>
      </c>
      <c r="N391" s="4">
        <v>6.8773100000000014</v>
      </c>
      <c r="O391" s="4">
        <f t="shared" si="56"/>
        <v>0.57241929377081235</v>
      </c>
      <c r="P391" s="4">
        <f t="shared" si="57"/>
        <v>3.9591730980573697E-2</v>
      </c>
      <c r="Q391" s="3" t="s">
        <v>294</v>
      </c>
      <c r="R391" s="3" t="s">
        <v>242</v>
      </c>
      <c r="S391" s="3" t="s">
        <v>222</v>
      </c>
      <c r="T391" s="3" t="s">
        <v>8</v>
      </c>
      <c r="U391" s="3" t="s">
        <v>165</v>
      </c>
      <c r="V391" s="3" t="s">
        <v>332</v>
      </c>
      <c r="W391" s="3" t="s">
        <v>112</v>
      </c>
      <c r="X391" s="3" t="s">
        <v>98</v>
      </c>
      <c r="Y391" s="3" t="s">
        <v>363</v>
      </c>
      <c r="Z391" s="3">
        <v>6</v>
      </c>
      <c r="AA391" s="3">
        <v>0</v>
      </c>
      <c r="AB391" s="11" t="s">
        <v>398</v>
      </c>
    </row>
    <row r="392" spans="1:28">
      <c r="A392" s="3" t="s">
        <v>383</v>
      </c>
      <c r="B392" s="3" t="s">
        <v>393</v>
      </c>
      <c r="C392" s="3">
        <v>8</v>
      </c>
      <c r="D392" s="3" t="s">
        <v>241</v>
      </c>
      <c r="E392" s="3">
        <v>4.7</v>
      </c>
      <c r="F392" s="3">
        <v>2013</v>
      </c>
      <c r="G392" s="4">
        <v>24.33605</v>
      </c>
      <c r="H392" s="3">
        <v>10</v>
      </c>
      <c r="I392" s="4">
        <f t="shared" si="55"/>
        <v>9.16206706480585</v>
      </c>
      <c r="J392" s="4">
        <v>2.8973000000000013</v>
      </c>
      <c r="K392" s="4">
        <v>31.57188</v>
      </c>
      <c r="L392" s="3">
        <v>10</v>
      </c>
      <c r="M392" s="4">
        <f t="shared" si="58"/>
        <v>15.898224445390115</v>
      </c>
      <c r="N392" s="4">
        <v>5.0274599999999978</v>
      </c>
      <c r="O392" s="4">
        <f t="shared" si="56"/>
        <v>0.26030806091856018</v>
      </c>
      <c r="P392" s="4">
        <f t="shared" si="57"/>
        <v>3.953072668534513E-2</v>
      </c>
      <c r="Q392" s="3" t="s">
        <v>294</v>
      </c>
      <c r="R392" s="3" t="s">
        <v>242</v>
      </c>
      <c r="S392" s="3" t="s">
        <v>222</v>
      </c>
      <c r="T392" s="3" t="s">
        <v>8</v>
      </c>
      <c r="U392" s="3" t="s">
        <v>165</v>
      </c>
      <c r="V392" s="3" t="s">
        <v>332</v>
      </c>
      <c r="W392" s="3" t="s">
        <v>112</v>
      </c>
      <c r="X392" s="3" t="s">
        <v>98</v>
      </c>
      <c r="Y392" s="3" t="s">
        <v>363</v>
      </c>
      <c r="Z392" s="3">
        <v>6</v>
      </c>
      <c r="AA392" s="3">
        <v>0</v>
      </c>
      <c r="AB392" s="11" t="s">
        <v>398</v>
      </c>
    </row>
    <row r="393" spans="1:28">
      <c r="A393" s="3" t="s">
        <v>383</v>
      </c>
      <c r="B393" s="3" t="s">
        <v>393</v>
      </c>
      <c r="C393" s="3">
        <v>9</v>
      </c>
      <c r="D393" s="3" t="s">
        <v>241</v>
      </c>
      <c r="E393" s="3">
        <v>4.7</v>
      </c>
      <c r="F393" s="3">
        <v>2013</v>
      </c>
      <c r="G393" s="4">
        <v>17.732990000000001</v>
      </c>
      <c r="H393" s="3">
        <v>10</v>
      </c>
      <c r="I393" s="4">
        <f t="shared" si="55"/>
        <v>9.7541719338957744</v>
      </c>
      <c r="J393" s="4">
        <v>3.0845400000000005</v>
      </c>
      <c r="K393" s="4">
        <v>27.873830000000002</v>
      </c>
      <c r="L393" s="3">
        <v>10</v>
      </c>
      <c r="M393" s="4">
        <f t="shared" si="58"/>
        <v>21.195924963916987</v>
      </c>
      <c r="N393" s="4">
        <v>6.702739999999995</v>
      </c>
      <c r="O393" s="4">
        <f t="shared" si="56"/>
        <v>0.45226150921540875</v>
      </c>
      <c r="P393" s="4">
        <f t="shared" si="57"/>
        <v>8.8080815937006562E-2</v>
      </c>
      <c r="Q393" s="3" t="s">
        <v>294</v>
      </c>
      <c r="R393" s="3" t="s">
        <v>242</v>
      </c>
      <c r="S393" s="3" t="s">
        <v>222</v>
      </c>
      <c r="T393" s="3" t="s">
        <v>8</v>
      </c>
      <c r="U393" s="3" t="s">
        <v>165</v>
      </c>
      <c r="V393" s="3" t="s">
        <v>332</v>
      </c>
      <c r="W393" s="3" t="s">
        <v>112</v>
      </c>
      <c r="X393" s="3" t="s">
        <v>98</v>
      </c>
      <c r="Y393" s="3" t="s">
        <v>363</v>
      </c>
      <c r="Z393" s="3">
        <v>6</v>
      </c>
      <c r="AA393" s="3">
        <v>0</v>
      </c>
      <c r="AB393" s="11" t="s">
        <v>398</v>
      </c>
    </row>
    <row r="394" spans="1:28">
      <c r="A394" s="3" t="s">
        <v>383</v>
      </c>
      <c r="B394" s="3" t="s">
        <v>393</v>
      </c>
      <c r="C394" s="3">
        <v>10</v>
      </c>
      <c r="D394" s="3" t="s">
        <v>241</v>
      </c>
      <c r="E394" s="3">
        <v>4.7</v>
      </c>
      <c r="F394" s="3">
        <v>2013</v>
      </c>
      <c r="G394" s="4">
        <v>17.732990000000001</v>
      </c>
      <c r="H394" s="3">
        <v>10</v>
      </c>
      <c r="I394" s="4">
        <f t="shared" si="55"/>
        <v>9.7541719338957744</v>
      </c>
      <c r="J394" s="4">
        <v>3.0845400000000005</v>
      </c>
      <c r="K394" s="4">
        <v>21.391929999999999</v>
      </c>
      <c r="L394" s="3">
        <v>10</v>
      </c>
      <c r="M394" s="4">
        <f t="shared" si="58"/>
        <v>15.643977321512585</v>
      </c>
      <c r="N394" s="4">
        <v>4.9470600000000005</v>
      </c>
      <c r="O394" s="4">
        <f t="shared" si="56"/>
        <v>0.18758700151311589</v>
      </c>
      <c r="P394" s="4">
        <f t="shared" si="57"/>
        <v>8.3736745434168119E-2</v>
      </c>
      <c r="Q394" s="3" t="s">
        <v>294</v>
      </c>
      <c r="R394" s="3" t="s">
        <v>242</v>
      </c>
      <c r="S394" s="3" t="s">
        <v>222</v>
      </c>
      <c r="T394" s="3" t="s">
        <v>8</v>
      </c>
      <c r="U394" s="3" t="s">
        <v>165</v>
      </c>
      <c r="V394" s="3" t="s">
        <v>332</v>
      </c>
      <c r="W394" s="3" t="s">
        <v>112</v>
      </c>
      <c r="X394" s="3" t="s">
        <v>98</v>
      </c>
      <c r="Y394" s="3" t="s">
        <v>363</v>
      </c>
      <c r="Z394" s="3">
        <v>6</v>
      </c>
      <c r="AA394" s="3">
        <v>0</v>
      </c>
      <c r="AB394" s="11" t="s">
        <v>398</v>
      </c>
    </row>
    <row r="395" spans="1:28" ht="17">
      <c r="A395" s="3" t="s">
        <v>244</v>
      </c>
      <c r="B395" s="3" t="s">
        <v>243</v>
      </c>
      <c r="C395" s="3">
        <v>1</v>
      </c>
      <c r="D395" s="5" t="s">
        <v>245</v>
      </c>
      <c r="E395" s="3">
        <v>3.9</v>
      </c>
      <c r="F395" s="3">
        <v>2017</v>
      </c>
      <c r="G395" s="4">
        <v>8.9947199999999992</v>
      </c>
      <c r="H395" s="3">
        <v>3</v>
      </c>
      <c r="I395" s="4">
        <v>0.12169000000000096</v>
      </c>
      <c r="J395" s="4">
        <f t="shared" ref="J395:J430" si="59">I395 / SQRT(H395)</f>
        <v>7.0257754257686114E-2</v>
      </c>
      <c r="K395" s="4">
        <v>9.8984799999999993</v>
      </c>
      <c r="L395" s="3">
        <v>3</v>
      </c>
      <c r="M395" s="4">
        <v>0.22600000000000087</v>
      </c>
      <c r="N395" s="4">
        <f t="shared" ref="N395:N430" si="60">M395 / SQRT(L395)</f>
        <v>0.13048116083685593</v>
      </c>
      <c r="O395" s="4">
        <f t="shared" si="56"/>
        <v>9.5743471485921577E-2</v>
      </c>
      <c r="P395" s="4">
        <f t="shared" si="57"/>
        <v>2.3477523385922875E-4</v>
      </c>
      <c r="Q395" s="3" t="s">
        <v>300</v>
      </c>
      <c r="R395" s="3" t="s">
        <v>246</v>
      </c>
      <c r="S395" s="3" t="s">
        <v>222</v>
      </c>
      <c r="T395" s="3" t="s">
        <v>97</v>
      </c>
      <c r="U395" s="3" t="s">
        <v>335</v>
      </c>
      <c r="V395" s="3" t="s">
        <v>332</v>
      </c>
      <c r="W395" s="3" t="s">
        <v>112</v>
      </c>
      <c r="X395" s="3" t="s">
        <v>98</v>
      </c>
      <c r="Y395" s="3" t="s">
        <v>363</v>
      </c>
      <c r="Z395" s="3" t="s">
        <v>363</v>
      </c>
      <c r="AA395" s="3" t="s">
        <v>363</v>
      </c>
      <c r="AB395" s="11" t="s">
        <v>398</v>
      </c>
    </row>
    <row r="396" spans="1:28" ht="17">
      <c r="A396" s="3" t="s">
        <v>244</v>
      </c>
      <c r="B396" s="3" t="s">
        <v>243</v>
      </c>
      <c r="C396" s="3">
        <v>2</v>
      </c>
      <c r="D396" s="5" t="s">
        <v>245</v>
      </c>
      <c r="E396" s="3">
        <v>3.9</v>
      </c>
      <c r="F396" s="3">
        <v>2017</v>
      </c>
      <c r="G396" s="4">
        <v>9.8342299999999998</v>
      </c>
      <c r="H396" s="3">
        <v>3</v>
      </c>
      <c r="I396" s="4">
        <v>0.18968000000000096</v>
      </c>
      <c r="J396" s="4">
        <f t="shared" si="59"/>
        <v>0.10951179905988878</v>
      </c>
      <c r="K396" s="4">
        <v>11.02252</v>
      </c>
      <c r="L396" s="3">
        <v>3</v>
      </c>
      <c r="M396" s="4">
        <v>0.24338000000000015</v>
      </c>
      <c r="N396" s="4">
        <f t="shared" si="60"/>
        <v>0.1405155085153712</v>
      </c>
      <c r="O396" s="4">
        <f t="shared" si="56"/>
        <v>0.11407129575759925</v>
      </c>
      <c r="P396" s="4">
        <f t="shared" si="57"/>
        <v>2.8651802854358279E-4</v>
      </c>
      <c r="Q396" s="3" t="s">
        <v>300</v>
      </c>
      <c r="R396" s="3" t="s">
        <v>246</v>
      </c>
      <c r="S396" s="3" t="s">
        <v>222</v>
      </c>
      <c r="T396" s="3" t="s">
        <v>97</v>
      </c>
      <c r="U396" s="3" t="s">
        <v>335</v>
      </c>
      <c r="V396" s="3" t="s">
        <v>332</v>
      </c>
      <c r="W396" s="3" t="s">
        <v>112</v>
      </c>
      <c r="X396" s="3" t="s">
        <v>98</v>
      </c>
      <c r="Y396" s="3" t="s">
        <v>363</v>
      </c>
      <c r="Z396" s="3" t="s">
        <v>363</v>
      </c>
      <c r="AA396" s="3" t="s">
        <v>363</v>
      </c>
      <c r="AB396" s="11" t="s">
        <v>398</v>
      </c>
    </row>
    <row r="397" spans="1:28" ht="17">
      <c r="A397" s="3" t="s">
        <v>244</v>
      </c>
      <c r="B397" s="3" t="s">
        <v>243</v>
      </c>
      <c r="C397" s="3">
        <v>3</v>
      </c>
      <c r="D397" s="5" t="s">
        <v>245</v>
      </c>
      <c r="E397" s="3">
        <v>3.9</v>
      </c>
      <c r="F397" s="3">
        <v>2017</v>
      </c>
      <c r="G397" s="4">
        <v>10.88058</v>
      </c>
      <c r="H397" s="3">
        <v>3</v>
      </c>
      <c r="I397" s="4">
        <v>0.20861999999999981</v>
      </c>
      <c r="J397" s="4">
        <f t="shared" si="59"/>
        <v>0.12044681315833962</v>
      </c>
      <c r="K397" s="4">
        <v>12.60581</v>
      </c>
      <c r="L397" s="3">
        <v>3</v>
      </c>
      <c r="M397" s="4">
        <v>0.27815000000000012</v>
      </c>
      <c r="N397" s="4">
        <f t="shared" si="60"/>
        <v>0.16058997737509448</v>
      </c>
      <c r="O397" s="4">
        <f t="shared" si="56"/>
        <v>0.14717826995902358</v>
      </c>
      <c r="P397" s="4">
        <f t="shared" si="57"/>
        <v>2.8483378822929749E-4</v>
      </c>
      <c r="Q397" s="3" t="s">
        <v>300</v>
      </c>
      <c r="R397" s="3" t="s">
        <v>246</v>
      </c>
      <c r="S397" s="3" t="s">
        <v>222</v>
      </c>
      <c r="T397" s="3" t="s">
        <v>97</v>
      </c>
      <c r="U397" s="3" t="s">
        <v>335</v>
      </c>
      <c r="V397" s="3" t="s">
        <v>332</v>
      </c>
      <c r="W397" s="3" t="s">
        <v>112</v>
      </c>
      <c r="X397" s="3" t="s">
        <v>98</v>
      </c>
      <c r="Y397" s="3" t="s">
        <v>363</v>
      </c>
      <c r="Z397" s="3" t="s">
        <v>363</v>
      </c>
      <c r="AA397" s="3" t="s">
        <v>363</v>
      </c>
      <c r="AB397" s="11" t="s">
        <v>398</v>
      </c>
    </row>
    <row r="398" spans="1:28" ht="17">
      <c r="A398" s="3" t="s">
        <v>244</v>
      </c>
      <c r="B398" s="3" t="s">
        <v>243</v>
      </c>
      <c r="C398" s="3">
        <v>4</v>
      </c>
      <c r="D398" s="5" t="s">
        <v>245</v>
      </c>
      <c r="E398" s="3">
        <v>3.9</v>
      </c>
      <c r="F398" s="3">
        <v>2017</v>
      </c>
      <c r="G398" s="4">
        <v>13.40527</v>
      </c>
      <c r="H398" s="3">
        <v>3</v>
      </c>
      <c r="I398" s="4">
        <v>0.20861000000000018</v>
      </c>
      <c r="J398" s="4">
        <f t="shared" si="59"/>
        <v>0.12044103965564794</v>
      </c>
      <c r="K398" s="4">
        <v>14.065429999999999</v>
      </c>
      <c r="L398" s="3">
        <v>3</v>
      </c>
      <c r="M398" s="4">
        <v>0.26076000000000121</v>
      </c>
      <c r="N398" s="4">
        <f t="shared" si="60"/>
        <v>0.15054985619388753</v>
      </c>
      <c r="O398" s="4">
        <f t="shared" si="56"/>
        <v>4.8072100593952241E-2</v>
      </c>
      <c r="P398" s="4">
        <f t="shared" si="57"/>
        <v>1.9528881836259151E-4</v>
      </c>
      <c r="Q398" s="3" t="s">
        <v>300</v>
      </c>
      <c r="R398" s="3" t="s">
        <v>246</v>
      </c>
      <c r="S398" s="3" t="s">
        <v>222</v>
      </c>
      <c r="T398" s="3" t="s">
        <v>97</v>
      </c>
      <c r="U398" s="3" t="s">
        <v>335</v>
      </c>
      <c r="V398" s="3" t="s">
        <v>332</v>
      </c>
      <c r="W398" s="3" t="s">
        <v>112</v>
      </c>
      <c r="X398" s="3" t="s">
        <v>98</v>
      </c>
      <c r="Y398" s="3" t="s">
        <v>363</v>
      </c>
      <c r="Z398" s="3" t="s">
        <v>363</v>
      </c>
      <c r="AA398" s="3" t="s">
        <v>363</v>
      </c>
      <c r="AB398" s="11" t="s">
        <v>398</v>
      </c>
    </row>
    <row r="399" spans="1:28" ht="17">
      <c r="A399" s="3" t="s">
        <v>244</v>
      </c>
      <c r="B399" s="3" t="s">
        <v>243</v>
      </c>
      <c r="C399" s="3">
        <v>5</v>
      </c>
      <c r="D399" s="5" t="s">
        <v>245</v>
      </c>
      <c r="E399" s="3">
        <v>3.9</v>
      </c>
      <c r="F399" s="3">
        <v>2017</v>
      </c>
      <c r="G399" s="4">
        <v>11.91968</v>
      </c>
      <c r="H399" s="3">
        <v>3</v>
      </c>
      <c r="I399" s="4">
        <v>0.18220999999999954</v>
      </c>
      <c r="J399" s="4">
        <f t="shared" si="59"/>
        <v>0.10519899254904146</v>
      </c>
      <c r="K399" s="4">
        <v>13.711360000000001</v>
      </c>
      <c r="L399" s="3">
        <v>3</v>
      </c>
      <c r="M399" s="4">
        <v>0.20882999999999896</v>
      </c>
      <c r="N399" s="4">
        <f t="shared" si="60"/>
        <v>0.12056805671486895</v>
      </c>
      <c r="O399" s="4">
        <f t="shared" si="56"/>
        <v>0.14003387068112808</v>
      </c>
      <c r="P399" s="4">
        <f t="shared" si="57"/>
        <v>1.5521426669124294E-4</v>
      </c>
      <c r="Q399" s="3" t="s">
        <v>300</v>
      </c>
      <c r="R399" s="3" t="s">
        <v>246</v>
      </c>
      <c r="S399" s="3" t="s">
        <v>222</v>
      </c>
      <c r="T399" s="3" t="s">
        <v>97</v>
      </c>
      <c r="U399" s="3" t="s">
        <v>335</v>
      </c>
      <c r="V399" s="3" t="s">
        <v>332</v>
      </c>
      <c r="W399" s="3" t="s">
        <v>112</v>
      </c>
      <c r="X399" s="3" t="s">
        <v>98</v>
      </c>
      <c r="Y399" s="3" t="s">
        <v>363</v>
      </c>
      <c r="Z399" s="3" t="s">
        <v>363</v>
      </c>
      <c r="AA399" s="3" t="s">
        <v>363</v>
      </c>
      <c r="AB399" s="11" t="s">
        <v>398</v>
      </c>
    </row>
    <row r="400" spans="1:28" ht="17">
      <c r="A400" s="3" t="s">
        <v>244</v>
      </c>
      <c r="B400" s="3" t="s">
        <v>243</v>
      </c>
      <c r="C400" s="3">
        <v>6</v>
      </c>
      <c r="D400" s="5" t="s">
        <v>245</v>
      </c>
      <c r="E400" s="3">
        <v>3.9</v>
      </c>
      <c r="F400" s="3">
        <v>2017</v>
      </c>
      <c r="G400" s="4">
        <v>5.7830300000000001</v>
      </c>
      <c r="H400" s="3">
        <v>3</v>
      </c>
      <c r="I400" s="4">
        <v>0.13907000000000025</v>
      </c>
      <c r="J400" s="4">
        <f t="shared" si="59"/>
        <v>8.0292101936201399E-2</v>
      </c>
      <c r="K400" s="4">
        <v>6.5829199999999997</v>
      </c>
      <c r="L400" s="3">
        <v>3</v>
      </c>
      <c r="M400" s="4">
        <v>0.31357999999999997</v>
      </c>
      <c r="N400" s="4">
        <f t="shared" si="60"/>
        <v>0.18104549741248285</v>
      </c>
      <c r="O400" s="4">
        <f t="shared" si="56"/>
        <v>0.1295506491163374</v>
      </c>
      <c r="P400" s="4">
        <f t="shared" si="57"/>
        <v>9.4914490027140242E-4</v>
      </c>
      <c r="Q400" s="3" t="s">
        <v>300</v>
      </c>
      <c r="R400" s="3" t="s">
        <v>246</v>
      </c>
      <c r="S400" s="3" t="s">
        <v>222</v>
      </c>
      <c r="T400" s="3" t="s">
        <v>97</v>
      </c>
      <c r="U400" s="3" t="s">
        <v>335</v>
      </c>
      <c r="V400" s="3" t="s">
        <v>332</v>
      </c>
      <c r="W400" s="3" t="s">
        <v>112</v>
      </c>
      <c r="X400" s="3" t="s">
        <v>98</v>
      </c>
      <c r="Y400" s="3" t="s">
        <v>363</v>
      </c>
      <c r="Z400" s="3" t="s">
        <v>363</v>
      </c>
      <c r="AA400" s="3" t="s">
        <v>363</v>
      </c>
      <c r="AB400" s="11" t="s">
        <v>398</v>
      </c>
    </row>
    <row r="401" spans="1:28" ht="17">
      <c r="A401" s="3" t="s">
        <v>244</v>
      </c>
      <c r="B401" s="3" t="s">
        <v>243</v>
      </c>
      <c r="C401" s="3">
        <v>7</v>
      </c>
      <c r="D401" s="5" t="s">
        <v>245</v>
      </c>
      <c r="E401" s="3">
        <v>3.9</v>
      </c>
      <c r="F401" s="3">
        <v>2017</v>
      </c>
      <c r="G401" s="4">
        <v>7.6173999999999999</v>
      </c>
      <c r="H401" s="3">
        <v>3</v>
      </c>
      <c r="I401" s="4">
        <v>0.22599000000000036</v>
      </c>
      <c r="J401" s="4">
        <f t="shared" si="59"/>
        <v>0.13047538733416375</v>
      </c>
      <c r="K401" s="4">
        <v>8.3895700000000009</v>
      </c>
      <c r="L401" s="3">
        <v>3</v>
      </c>
      <c r="M401" s="4">
        <v>0.17405999999999899</v>
      </c>
      <c r="N401" s="4">
        <f t="shared" si="60"/>
        <v>0.10049358785514569</v>
      </c>
      <c r="O401" s="4">
        <f t="shared" si="56"/>
        <v>9.6554163550842426E-2</v>
      </c>
      <c r="P401" s="4">
        <f t="shared" si="57"/>
        <v>4.3687085128108166E-4</v>
      </c>
      <c r="Q401" s="3" t="s">
        <v>300</v>
      </c>
      <c r="R401" s="3" t="s">
        <v>246</v>
      </c>
      <c r="S401" s="3" t="s">
        <v>222</v>
      </c>
      <c r="T401" s="3" t="s">
        <v>97</v>
      </c>
      <c r="U401" s="3" t="s">
        <v>335</v>
      </c>
      <c r="V401" s="3" t="s">
        <v>332</v>
      </c>
      <c r="W401" s="3" t="s">
        <v>112</v>
      </c>
      <c r="X401" s="3" t="s">
        <v>98</v>
      </c>
      <c r="Y401" s="3" t="s">
        <v>363</v>
      </c>
      <c r="Z401" s="3" t="s">
        <v>363</v>
      </c>
      <c r="AA401" s="3" t="s">
        <v>363</v>
      </c>
      <c r="AB401" s="11" t="s">
        <v>398</v>
      </c>
    </row>
    <row r="402" spans="1:28" ht="17">
      <c r="A402" s="3" t="s">
        <v>244</v>
      </c>
      <c r="B402" s="3" t="s">
        <v>243</v>
      </c>
      <c r="C402" s="3">
        <v>8</v>
      </c>
      <c r="D402" s="5" t="s">
        <v>245</v>
      </c>
      <c r="E402" s="3">
        <v>3.9</v>
      </c>
      <c r="F402" s="3">
        <v>2017</v>
      </c>
      <c r="G402" s="4">
        <v>8.8890899999999995</v>
      </c>
      <c r="H402" s="3">
        <v>3</v>
      </c>
      <c r="I402" s="4">
        <v>0.34769000000000005</v>
      </c>
      <c r="J402" s="4">
        <f t="shared" si="59"/>
        <v>0.20073891509454103</v>
      </c>
      <c r="K402" s="4">
        <v>9.6366200000000006</v>
      </c>
      <c r="L402" s="3">
        <v>3</v>
      </c>
      <c r="M402" s="4">
        <v>0.27815000000000012</v>
      </c>
      <c r="N402" s="4">
        <f t="shared" si="60"/>
        <v>0.16058997737509448</v>
      </c>
      <c r="O402" s="4">
        <f t="shared" si="56"/>
        <v>8.0745742651686811E-2</v>
      </c>
      <c r="P402" s="4">
        <f t="shared" si="57"/>
        <v>7.8768196173158557E-4</v>
      </c>
      <c r="Q402" s="3" t="s">
        <v>300</v>
      </c>
      <c r="R402" s="3" t="s">
        <v>246</v>
      </c>
      <c r="S402" s="3" t="s">
        <v>222</v>
      </c>
      <c r="T402" s="3" t="s">
        <v>97</v>
      </c>
      <c r="U402" s="3" t="s">
        <v>335</v>
      </c>
      <c r="V402" s="3" t="s">
        <v>332</v>
      </c>
      <c r="W402" s="3" t="s">
        <v>112</v>
      </c>
      <c r="X402" s="3" t="s">
        <v>98</v>
      </c>
      <c r="Y402" s="3" t="s">
        <v>363</v>
      </c>
      <c r="Z402" s="3" t="s">
        <v>363</v>
      </c>
      <c r="AA402" s="3" t="s">
        <v>363</v>
      </c>
      <c r="AB402" s="11" t="s">
        <v>398</v>
      </c>
    </row>
    <row r="403" spans="1:28" ht="17">
      <c r="A403" s="3" t="s">
        <v>244</v>
      </c>
      <c r="B403" s="3" t="s">
        <v>243</v>
      </c>
      <c r="C403" s="3">
        <v>9</v>
      </c>
      <c r="D403" s="5" t="s">
        <v>245</v>
      </c>
      <c r="E403" s="3">
        <v>3.9</v>
      </c>
      <c r="F403" s="3">
        <v>2017</v>
      </c>
      <c r="G403" s="4">
        <v>8.4170800000000003</v>
      </c>
      <c r="H403" s="3">
        <v>3</v>
      </c>
      <c r="I403" s="4">
        <v>0.22598999999999947</v>
      </c>
      <c r="J403" s="4">
        <f t="shared" si="59"/>
        <v>0.13047538733416322</v>
      </c>
      <c r="K403" s="4">
        <v>10.570970000000001</v>
      </c>
      <c r="L403" s="3">
        <v>3</v>
      </c>
      <c r="M403" s="4">
        <v>0.23391999999999946</v>
      </c>
      <c r="N403" s="4">
        <f t="shared" si="60"/>
        <v>0.13505377496883694</v>
      </c>
      <c r="O403" s="4">
        <f t="shared" si="56"/>
        <v>0.22784859007126193</v>
      </c>
      <c r="P403" s="4">
        <f t="shared" si="57"/>
        <v>4.0351312488718304E-4</v>
      </c>
      <c r="Q403" s="3" t="s">
        <v>300</v>
      </c>
      <c r="R403" s="3" t="s">
        <v>246</v>
      </c>
      <c r="S403" s="3" t="s">
        <v>222</v>
      </c>
      <c r="T403" s="3" t="s">
        <v>97</v>
      </c>
      <c r="U403" s="3" t="s">
        <v>335</v>
      </c>
      <c r="V403" s="3" t="s">
        <v>332</v>
      </c>
      <c r="W403" s="3" t="s">
        <v>112</v>
      </c>
      <c r="X403" s="3" t="s">
        <v>98</v>
      </c>
      <c r="Y403" s="3" t="s">
        <v>363</v>
      </c>
      <c r="Z403" s="3" t="s">
        <v>363</v>
      </c>
      <c r="AA403" s="3" t="s">
        <v>363</v>
      </c>
      <c r="AB403" s="11" t="s">
        <v>398</v>
      </c>
    </row>
    <row r="404" spans="1:28" ht="17">
      <c r="A404" s="3" t="s">
        <v>244</v>
      </c>
      <c r="B404" s="3" t="s">
        <v>243</v>
      </c>
      <c r="C404" s="3">
        <v>10</v>
      </c>
      <c r="D404" s="5" t="s">
        <v>245</v>
      </c>
      <c r="E404" s="3">
        <v>3.9</v>
      </c>
      <c r="F404" s="3">
        <v>2017</v>
      </c>
      <c r="G404" s="4">
        <v>10.46006</v>
      </c>
      <c r="H404" s="3">
        <v>3</v>
      </c>
      <c r="I404" s="4">
        <v>0.26053999999999888</v>
      </c>
      <c r="J404" s="4">
        <f t="shared" si="59"/>
        <v>0.15042283913466445</v>
      </c>
      <c r="K404" s="4">
        <v>15.161519999999999</v>
      </c>
      <c r="L404" s="3">
        <v>3</v>
      </c>
      <c r="M404" s="4">
        <v>0.21631</v>
      </c>
      <c r="N404" s="4">
        <f t="shared" si="60"/>
        <v>0.12488663672840795</v>
      </c>
      <c r="O404" s="4">
        <f t="shared" si="56"/>
        <v>0.37119644428239157</v>
      </c>
      <c r="P404" s="4">
        <f t="shared" si="57"/>
        <v>2.746536009179387E-4</v>
      </c>
      <c r="Q404" s="3" t="s">
        <v>300</v>
      </c>
      <c r="R404" s="3" t="s">
        <v>246</v>
      </c>
      <c r="S404" s="3" t="s">
        <v>222</v>
      </c>
      <c r="T404" s="3" t="s">
        <v>97</v>
      </c>
      <c r="U404" s="3" t="s">
        <v>335</v>
      </c>
      <c r="V404" s="3" t="s">
        <v>332</v>
      </c>
      <c r="W404" s="3" t="s">
        <v>112</v>
      </c>
      <c r="X404" s="3" t="s">
        <v>98</v>
      </c>
      <c r="Y404" s="3" t="s">
        <v>363</v>
      </c>
      <c r="Z404" s="3" t="s">
        <v>363</v>
      </c>
      <c r="AA404" s="3" t="s">
        <v>363</v>
      </c>
      <c r="AB404" s="11" t="s">
        <v>398</v>
      </c>
    </row>
    <row r="405" spans="1:28" ht="17">
      <c r="A405" s="3" t="s">
        <v>244</v>
      </c>
      <c r="B405" s="3" t="s">
        <v>243</v>
      </c>
      <c r="C405" s="3">
        <v>11</v>
      </c>
      <c r="D405" s="5" t="s">
        <v>245</v>
      </c>
      <c r="E405" s="3">
        <v>3.9</v>
      </c>
      <c r="F405" s="3">
        <v>2017</v>
      </c>
      <c r="G405" s="4">
        <v>11.798870000000001</v>
      </c>
      <c r="H405" s="3">
        <v>3</v>
      </c>
      <c r="I405" s="4">
        <v>0.17383999999999844</v>
      </c>
      <c r="J405" s="4">
        <f t="shared" si="59"/>
        <v>0.10036657079592365</v>
      </c>
      <c r="K405" s="4">
        <v>12.841049999999999</v>
      </c>
      <c r="L405" s="3">
        <v>3</v>
      </c>
      <c r="M405" s="4">
        <v>0.15646000000000093</v>
      </c>
      <c r="N405" s="4">
        <f t="shared" si="60"/>
        <v>9.0332223117409391E-2</v>
      </c>
      <c r="O405" s="4">
        <f t="shared" si="56"/>
        <v>8.464330644508572E-2</v>
      </c>
      <c r="P405" s="4">
        <f t="shared" si="57"/>
        <v>1.2184602171585944E-4</v>
      </c>
      <c r="Q405" s="3" t="s">
        <v>300</v>
      </c>
      <c r="R405" s="3" t="s">
        <v>246</v>
      </c>
      <c r="S405" s="3" t="s">
        <v>222</v>
      </c>
      <c r="T405" s="3" t="s">
        <v>97</v>
      </c>
      <c r="U405" s="3" t="s">
        <v>335</v>
      </c>
      <c r="V405" s="3" t="s">
        <v>332</v>
      </c>
      <c r="W405" s="3" t="s">
        <v>112</v>
      </c>
      <c r="X405" s="3" t="s">
        <v>98</v>
      </c>
      <c r="Y405" s="3" t="s">
        <v>363</v>
      </c>
      <c r="Z405" s="3" t="s">
        <v>363</v>
      </c>
      <c r="AA405" s="3" t="s">
        <v>363</v>
      </c>
      <c r="AB405" s="11" t="s">
        <v>398</v>
      </c>
    </row>
    <row r="406" spans="1:28" ht="17">
      <c r="A406" s="3" t="s">
        <v>244</v>
      </c>
      <c r="B406" s="3" t="s">
        <v>243</v>
      </c>
      <c r="C406" s="3">
        <v>12</v>
      </c>
      <c r="D406" s="5" t="s">
        <v>245</v>
      </c>
      <c r="E406" s="3">
        <v>3.9</v>
      </c>
      <c r="F406" s="3">
        <v>2017</v>
      </c>
      <c r="G406" s="4">
        <v>7.2855600000000003</v>
      </c>
      <c r="H406" s="3">
        <v>3</v>
      </c>
      <c r="I406" s="4">
        <v>0.24338000000000015</v>
      </c>
      <c r="J406" s="4">
        <f t="shared" si="59"/>
        <v>0.1405155085153712</v>
      </c>
      <c r="K406" s="4">
        <v>9.7543500000000005</v>
      </c>
      <c r="L406" s="3">
        <v>3</v>
      </c>
      <c r="M406" s="4">
        <v>0.17384000000000022</v>
      </c>
      <c r="N406" s="4">
        <f t="shared" si="60"/>
        <v>0.10036657079592468</v>
      </c>
      <c r="O406" s="4">
        <f t="shared" si="56"/>
        <v>0.29181903238467571</v>
      </c>
      <c r="P406" s="4">
        <f t="shared" si="57"/>
        <v>4.7785470666143845E-4</v>
      </c>
      <c r="Q406" s="3" t="s">
        <v>300</v>
      </c>
      <c r="R406" s="3" t="s">
        <v>246</v>
      </c>
      <c r="S406" s="3" t="s">
        <v>222</v>
      </c>
      <c r="T406" s="3" t="s">
        <v>97</v>
      </c>
      <c r="U406" s="3" t="s">
        <v>335</v>
      </c>
      <c r="V406" s="3" t="s">
        <v>332</v>
      </c>
      <c r="W406" s="3" t="s">
        <v>112</v>
      </c>
      <c r="X406" s="3" t="s">
        <v>98</v>
      </c>
      <c r="Y406" s="3" t="s">
        <v>363</v>
      </c>
      <c r="Z406" s="3" t="s">
        <v>363</v>
      </c>
      <c r="AA406" s="3" t="s">
        <v>363</v>
      </c>
      <c r="AB406" s="11" t="s">
        <v>398</v>
      </c>
    </row>
    <row r="407" spans="1:28" ht="17">
      <c r="A407" s="3" t="s">
        <v>244</v>
      </c>
      <c r="B407" s="3" t="s">
        <v>243</v>
      </c>
      <c r="C407" s="3">
        <v>13</v>
      </c>
      <c r="D407" s="5" t="s">
        <v>245</v>
      </c>
      <c r="E407" s="3">
        <v>3.9</v>
      </c>
      <c r="F407" s="3">
        <v>2017</v>
      </c>
      <c r="G407" s="4">
        <v>9.3685899999999993</v>
      </c>
      <c r="H407" s="3">
        <v>3</v>
      </c>
      <c r="I407" s="4">
        <v>6.9539999999999935E-2</v>
      </c>
      <c r="J407" s="4">
        <f t="shared" si="59"/>
        <v>4.014893771944654E-2</v>
      </c>
      <c r="K407" s="4">
        <v>10.476559999999999</v>
      </c>
      <c r="L407" s="3">
        <v>3</v>
      </c>
      <c r="M407" s="4">
        <v>0.10453000000000046</v>
      </c>
      <c r="N407" s="4">
        <f t="shared" si="60"/>
        <v>6.0350423638391847E-2</v>
      </c>
      <c r="O407" s="4">
        <f t="shared" si="56"/>
        <v>0.11177777606323876</v>
      </c>
      <c r="P407" s="4">
        <f t="shared" si="57"/>
        <v>5.1548948620472771E-5</v>
      </c>
      <c r="Q407" s="3" t="s">
        <v>300</v>
      </c>
      <c r="R407" s="3" t="s">
        <v>246</v>
      </c>
      <c r="S407" s="3" t="s">
        <v>222</v>
      </c>
      <c r="T407" s="3" t="s">
        <v>97</v>
      </c>
      <c r="U407" s="3" t="s">
        <v>335</v>
      </c>
      <c r="V407" s="3" t="s">
        <v>332</v>
      </c>
      <c r="W407" s="3" t="s">
        <v>112</v>
      </c>
      <c r="X407" s="3" t="s">
        <v>98</v>
      </c>
      <c r="Y407" s="3" t="s">
        <v>363</v>
      </c>
      <c r="Z407" s="3" t="s">
        <v>363</v>
      </c>
      <c r="AA407" s="3" t="s">
        <v>363</v>
      </c>
      <c r="AB407" s="11" t="s">
        <v>398</v>
      </c>
    </row>
    <row r="408" spans="1:28" ht="17">
      <c r="A408" s="3" t="s">
        <v>244</v>
      </c>
      <c r="B408" s="3" t="s">
        <v>243</v>
      </c>
      <c r="C408" s="3">
        <v>14</v>
      </c>
      <c r="D408" s="5" t="s">
        <v>245</v>
      </c>
      <c r="E408" s="3">
        <v>3.9</v>
      </c>
      <c r="F408" s="3">
        <v>2017</v>
      </c>
      <c r="G408" s="4">
        <v>10.05714</v>
      </c>
      <c r="H408" s="3">
        <v>3</v>
      </c>
      <c r="I408" s="4">
        <v>0.13752999999999993</v>
      </c>
      <c r="J408" s="4">
        <f t="shared" si="59"/>
        <v>7.9402982521649193E-2</v>
      </c>
      <c r="K408" s="4">
        <v>11.055529999999999</v>
      </c>
      <c r="L408" s="3">
        <v>3</v>
      </c>
      <c r="M408" s="4">
        <v>0.14897000000000027</v>
      </c>
      <c r="N408" s="4">
        <f t="shared" si="60"/>
        <v>8.6007869601178705E-2</v>
      </c>
      <c r="O408" s="4">
        <f t="shared" si="56"/>
        <v>9.4647925250133005E-2</v>
      </c>
      <c r="P408" s="4">
        <f t="shared" si="57"/>
        <v>1.2285650269273831E-4</v>
      </c>
      <c r="Q408" s="3" t="s">
        <v>300</v>
      </c>
      <c r="R408" s="3" t="s">
        <v>246</v>
      </c>
      <c r="S408" s="3" t="s">
        <v>222</v>
      </c>
      <c r="T408" s="3" t="s">
        <v>97</v>
      </c>
      <c r="U408" s="3" t="s">
        <v>335</v>
      </c>
      <c r="V408" s="3" t="s">
        <v>332</v>
      </c>
      <c r="W408" s="3" t="s">
        <v>112</v>
      </c>
      <c r="X408" s="3" t="s">
        <v>98</v>
      </c>
      <c r="Y408" s="3" t="s">
        <v>363</v>
      </c>
      <c r="Z408" s="3" t="s">
        <v>363</v>
      </c>
      <c r="AA408" s="3" t="s">
        <v>363</v>
      </c>
      <c r="AB408" s="11" t="s">
        <v>398</v>
      </c>
    </row>
    <row r="409" spans="1:28" ht="17">
      <c r="A409" s="3" t="s">
        <v>244</v>
      </c>
      <c r="B409" s="3" t="s">
        <v>243</v>
      </c>
      <c r="C409" s="3">
        <v>15</v>
      </c>
      <c r="D409" s="5" t="s">
        <v>245</v>
      </c>
      <c r="E409" s="3">
        <v>3.9</v>
      </c>
      <c r="F409" s="3">
        <v>2017</v>
      </c>
      <c r="G409" s="4">
        <v>10.44928</v>
      </c>
      <c r="H409" s="3">
        <v>3</v>
      </c>
      <c r="I409" s="4">
        <v>0.27815000000000012</v>
      </c>
      <c r="J409" s="4">
        <f t="shared" si="59"/>
        <v>0.16058997737509448</v>
      </c>
      <c r="K409" s="4">
        <v>12.08164</v>
      </c>
      <c r="L409" s="3">
        <v>3</v>
      </c>
      <c r="M409" s="4">
        <v>0.19122999999999912</v>
      </c>
      <c r="N409" s="4">
        <f t="shared" si="60"/>
        <v>0.11040669197713164</v>
      </c>
      <c r="O409" s="4">
        <f t="shared" si="56"/>
        <v>0.14515386836569452</v>
      </c>
      <c r="P409" s="4">
        <f t="shared" si="57"/>
        <v>3.1970153453829994E-4</v>
      </c>
      <c r="Q409" s="3" t="s">
        <v>300</v>
      </c>
      <c r="R409" s="3" t="s">
        <v>246</v>
      </c>
      <c r="S409" s="3" t="s">
        <v>222</v>
      </c>
      <c r="T409" s="3" t="s">
        <v>97</v>
      </c>
      <c r="U409" s="3" t="s">
        <v>335</v>
      </c>
      <c r="V409" s="3" t="s">
        <v>332</v>
      </c>
      <c r="W409" s="3" t="s">
        <v>112</v>
      </c>
      <c r="X409" s="3" t="s">
        <v>98</v>
      </c>
      <c r="Y409" s="3" t="s">
        <v>363</v>
      </c>
      <c r="Z409" s="3" t="s">
        <v>363</v>
      </c>
      <c r="AA409" s="3" t="s">
        <v>363</v>
      </c>
      <c r="AB409" s="11" t="s">
        <v>398</v>
      </c>
    </row>
    <row r="410" spans="1:28" ht="17">
      <c r="A410" s="3" t="s">
        <v>244</v>
      </c>
      <c r="B410" s="3" t="s">
        <v>243</v>
      </c>
      <c r="C410" s="3">
        <v>16</v>
      </c>
      <c r="D410" s="5" t="s">
        <v>245</v>
      </c>
      <c r="E410" s="3">
        <v>3.9</v>
      </c>
      <c r="F410" s="3">
        <v>2017</v>
      </c>
      <c r="G410" s="4">
        <v>10.38744</v>
      </c>
      <c r="H410" s="3">
        <v>3</v>
      </c>
      <c r="I410" s="4">
        <v>0.22600000000000087</v>
      </c>
      <c r="J410" s="4">
        <f t="shared" si="59"/>
        <v>0.13048116083685593</v>
      </c>
      <c r="K410" s="4">
        <v>15.250640000000001</v>
      </c>
      <c r="L410" s="3">
        <v>3</v>
      </c>
      <c r="M410" s="4">
        <v>0.22599999999999909</v>
      </c>
      <c r="N410" s="4">
        <f t="shared" si="60"/>
        <v>0.1304811608368549</v>
      </c>
      <c r="O410" s="4">
        <f t="shared" si="56"/>
        <v>0.38402408539433741</v>
      </c>
      <c r="P410" s="4">
        <f t="shared" si="57"/>
        <v>2.3099108616528327E-4</v>
      </c>
      <c r="Q410" s="3" t="s">
        <v>300</v>
      </c>
      <c r="R410" s="3" t="s">
        <v>246</v>
      </c>
      <c r="S410" s="3" t="s">
        <v>222</v>
      </c>
      <c r="T410" s="3" t="s">
        <v>97</v>
      </c>
      <c r="U410" s="3" t="s">
        <v>335</v>
      </c>
      <c r="V410" s="3" t="s">
        <v>332</v>
      </c>
      <c r="W410" s="3" t="s">
        <v>112</v>
      </c>
      <c r="X410" s="3" t="s">
        <v>98</v>
      </c>
      <c r="Y410" s="3" t="s">
        <v>363</v>
      </c>
      <c r="Z410" s="3" t="s">
        <v>363</v>
      </c>
      <c r="AA410" s="3" t="s">
        <v>363</v>
      </c>
      <c r="AB410" s="11" t="s">
        <v>398</v>
      </c>
    </row>
    <row r="411" spans="1:28" ht="17">
      <c r="A411" s="3" t="s">
        <v>244</v>
      </c>
      <c r="B411" s="3" t="s">
        <v>243</v>
      </c>
      <c r="C411" s="3">
        <v>17</v>
      </c>
      <c r="D411" s="5" t="s">
        <v>245</v>
      </c>
      <c r="E411" s="3">
        <v>3.9</v>
      </c>
      <c r="F411" s="3">
        <v>2017</v>
      </c>
      <c r="G411" s="4">
        <v>8.3567800000000005</v>
      </c>
      <c r="H411" s="3">
        <v>3</v>
      </c>
      <c r="I411" s="4">
        <v>0.26076999999999906</v>
      </c>
      <c r="J411" s="4">
        <f t="shared" si="59"/>
        <v>0.15055562969657818</v>
      </c>
      <c r="K411" s="4">
        <v>14.42676</v>
      </c>
      <c r="L411" s="3">
        <v>3</v>
      </c>
      <c r="M411" s="4">
        <v>0.13335000000000008</v>
      </c>
      <c r="N411" s="4">
        <f t="shared" si="60"/>
        <v>7.698965839643665E-2</v>
      </c>
      <c r="O411" s="4">
        <f t="shared" si="56"/>
        <v>0.54601162991365826</v>
      </c>
      <c r="P411" s="4">
        <f t="shared" si="57"/>
        <v>3.5305490356049481E-4</v>
      </c>
      <c r="Q411" s="3" t="s">
        <v>300</v>
      </c>
      <c r="R411" s="3" t="s">
        <v>246</v>
      </c>
      <c r="S411" s="3" t="s">
        <v>222</v>
      </c>
      <c r="T411" s="3" t="s">
        <v>97</v>
      </c>
      <c r="U411" s="3" t="s">
        <v>335</v>
      </c>
      <c r="V411" s="3" t="s">
        <v>332</v>
      </c>
      <c r="W411" s="3" t="s">
        <v>112</v>
      </c>
      <c r="X411" s="3" t="s">
        <v>98</v>
      </c>
      <c r="Y411" s="3" t="s">
        <v>363</v>
      </c>
      <c r="Z411" s="3" t="s">
        <v>363</v>
      </c>
      <c r="AA411" s="3" t="s">
        <v>363</v>
      </c>
      <c r="AB411" s="11" t="s">
        <v>398</v>
      </c>
    </row>
    <row r="412" spans="1:28" ht="17">
      <c r="A412" s="3" t="s">
        <v>244</v>
      </c>
      <c r="B412" s="3" t="s">
        <v>243</v>
      </c>
      <c r="C412" s="3">
        <v>18</v>
      </c>
      <c r="D412" s="5" t="s">
        <v>245</v>
      </c>
      <c r="E412" s="3">
        <v>3.9</v>
      </c>
      <c r="F412" s="3">
        <v>2017</v>
      </c>
      <c r="G412" s="4">
        <v>6.9284100000000004</v>
      </c>
      <c r="H412" s="3">
        <v>3</v>
      </c>
      <c r="I412" s="4">
        <v>0.27902999999999967</v>
      </c>
      <c r="J412" s="4">
        <f t="shared" si="59"/>
        <v>0.1610980456119811</v>
      </c>
      <c r="K412" s="4">
        <v>11.063890000000001</v>
      </c>
      <c r="L412" s="3">
        <v>3</v>
      </c>
      <c r="M412" s="4">
        <v>0.15645999999999916</v>
      </c>
      <c r="N412" s="4">
        <f t="shared" si="60"/>
        <v>9.0332223117408364E-2</v>
      </c>
      <c r="O412" s="4">
        <f t="shared" si="56"/>
        <v>0.4680563025106706</v>
      </c>
      <c r="P412" s="4">
        <f t="shared" si="57"/>
        <v>6.0730715868274096E-4</v>
      </c>
      <c r="Q412" s="3" t="s">
        <v>300</v>
      </c>
      <c r="R412" s="3" t="s">
        <v>246</v>
      </c>
      <c r="S412" s="3" t="s">
        <v>222</v>
      </c>
      <c r="T412" s="3" t="s">
        <v>97</v>
      </c>
      <c r="U412" s="3" t="s">
        <v>335</v>
      </c>
      <c r="V412" s="3" t="s">
        <v>332</v>
      </c>
      <c r="W412" s="3" t="s">
        <v>112</v>
      </c>
      <c r="X412" s="3" t="s">
        <v>98</v>
      </c>
      <c r="Y412" s="3" t="s">
        <v>363</v>
      </c>
      <c r="Z412" s="3" t="s">
        <v>363</v>
      </c>
      <c r="AA412" s="3" t="s">
        <v>363</v>
      </c>
      <c r="AB412" s="11" t="s">
        <v>398</v>
      </c>
    </row>
    <row r="413" spans="1:28" ht="17">
      <c r="A413" s="3" t="s">
        <v>244</v>
      </c>
      <c r="B413" s="3" t="s">
        <v>243</v>
      </c>
      <c r="C413" s="3">
        <v>19</v>
      </c>
      <c r="D413" s="5" t="s">
        <v>245</v>
      </c>
      <c r="E413" s="3">
        <v>3.9</v>
      </c>
      <c r="F413" s="3">
        <v>2017</v>
      </c>
      <c r="G413" s="4">
        <v>9.7004300000000008</v>
      </c>
      <c r="H413" s="3">
        <v>3</v>
      </c>
      <c r="I413" s="4">
        <v>0.1043099999999999</v>
      </c>
      <c r="J413" s="4">
        <f t="shared" si="59"/>
        <v>6.0223406579169809E-2</v>
      </c>
      <c r="K413" s="4">
        <v>11.51412</v>
      </c>
      <c r="L413" s="3">
        <v>3</v>
      </c>
      <c r="M413" s="4">
        <v>5.2149999999999253E-2</v>
      </c>
      <c r="N413" s="4">
        <f t="shared" si="60"/>
        <v>3.0108816538238554E-2</v>
      </c>
      <c r="O413" s="4">
        <f t="shared" si="56"/>
        <v>0.17140389387044572</v>
      </c>
      <c r="P413" s="4">
        <f t="shared" si="57"/>
        <v>4.5381228634094748E-5</v>
      </c>
      <c r="Q413" s="3" t="s">
        <v>300</v>
      </c>
      <c r="R413" s="3" t="s">
        <v>246</v>
      </c>
      <c r="S413" s="3" t="s">
        <v>222</v>
      </c>
      <c r="T413" s="3" t="s">
        <v>97</v>
      </c>
      <c r="U413" s="3" t="s">
        <v>335</v>
      </c>
      <c r="V413" s="3" t="s">
        <v>332</v>
      </c>
      <c r="W413" s="3" t="s">
        <v>112</v>
      </c>
      <c r="X413" s="3" t="s">
        <v>98</v>
      </c>
      <c r="Y413" s="3" t="s">
        <v>363</v>
      </c>
      <c r="Z413" s="3" t="s">
        <v>363</v>
      </c>
      <c r="AA413" s="3" t="s">
        <v>363</v>
      </c>
      <c r="AB413" s="11" t="s">
        <v>398</v>
      </c>
    </row>
    <row r="414" spans="1:28" ht="17">
      <c r="A414" s="3" t="s">
        <v>244</v>
      </c>
      <c r="B414" s="3" t="s">
        <v>243</v>
      </c>
      <c r="C414" s="3">
        <v>20</v>
      </c>
      <c r="D414" s="5" t="s">
        <v>245</v>
      </c>
      <c r="E414" s="3">
        <v>3.9</v>
      </c>
      <c r="F414" s="3">
        <v>2017</v>
      </c>
      <c r="G414" s="4">
        <v>10.66273</v>
      </c>
      <c r="H414" s="3">
        <v>3</v>
      </c>
      <c r="I414" s="4">
        <v>0.22600000000000087</v>
      </c>
      <c r="J414" s="4">
        <f t="shared" si="59"/>
        <v>0.13048116083685593</v>
      </c>
      <c r="K414" s="4">
        <v>12.067780000000001</v>
      </c>
      <c r="L414" s="3">
        <v>3</v>
      </c>
      <c r="M414" s="4">
        <v>0.24337999999999838</v>
      </c>
      <c r="N414" s="4">
        <f t="shared" si="60"/>
        <v>0.1405155085153702</v>
      </c>
      <c r="O414" s="4">
        <f t="shared" si="56"/>
        <v>0.12378460758952337</v>
      </c>
      <c r="P414" s="4">
        <f t="shared" si="57"/>
        <v>2.8532664386701073E-4</v>
      </c>
      <c r="Q414" s="3" t="s">
        <v>300</v>
      </c>
      <c r="R414" s="3" t="s">
        <v>246</v>
      </c>
      <c r="S414" s="3" t="s">
        <v>222</v>
      </c>
      <c r="T414" s="3" t="s">
        <v>97</v>
      </c>
      <c r="U414" s="3" t="s">
        <v>335</v>
      </c>
      <c r="V414" s="3" t="s">
        <v>332</v>
      </c>
      <c r="W414" s="3" t="s">
        <v>112</v>
      </c>
      <c r="X414" s="3" t="s">
        <v>98</v>
      </c>
      <c r="Y414" s="3" t="s">
        <v>363</v>
      </c>
      <c r="Z414" s="3" t="s">
        <v>363</v>
      </c>
      <c r="AA414" s="3" t="s">
        <v>363</v>
      </c>
      <c r="AB414" s="11" t="s">
        <v>398</v>
      </c>
    </row>
    <row r="415" spans="1:28" ht="17">
      <c r="A415" s="3" t="s">
        <v>244</v>
      </c>
      <c r="B415" s="3" t="s">
        <v>243</v>
      </c>
      <c r="C415" s="3">
        <v>21</v>
      </c>
      <c r="D415" s="5" t="s">
        <v>245</v>
      </c>
      <c r="E415" s="3">
        <v>3.9</v>
      </c>
      <c r="F415" s="3">
        <v>2017</v>
      </c>
      <c r="G415" s="4">
        <v>11.815149999999999</v>
      </c>
      <c r="H415" s="3">
        <v>3</v>
      </c>
      <c r="I415" s="4">
        <v>0.27815000000000012</v>
      </c>
      <c r="J415" s="4">
        <f t="shared" si="59"/>
        <v>0.16058997737509448</v>
      </c>
      <c r="K415" s="4">
        <v>12.45837</v>
      </c>
      <c r="L415" s="3">
        <v>3</v>
      </c>
      <c r="M415" s="4">
        <v>0.27815000000000012</v>
      </c>
      <c r="N415" s="4">
        <f t="shared" si="60"/>
        <v>0.16058997737509448</v>
      </c>
      <c r="O415" s="4">
        <f t="shared" si="56"/>
        <v>5.3010079898169131E-2</v>
      </c>
      <c r="P415" s="4">
        <f t="shared" si="57"/>
        <v>3.5089430375201251E-4</v>
      </c>
      <c r="Q415" s="3" t="s">
        <v>300</v>
      </c>
      <c r="R415" s="3" t="s">
        <v>246</v>
      </c>
      <c r="S415" s="3" t="s">
        <v>222</v>
      </c>
      <c r="T415" s="3" t="s">
        <v>97</v>
      </c>
      <c r="U415" s="3" t="s">
        <v>335</v>
      </c>
      <c r="V415" s="3" t="s">
        <v>332</v>
      </c>
      <c r="W415" s="3" t="s">
        <v>112</v>
      </c>
      <c r="X415" s="3" t="s">
        <v>98</v>
      </c>
      <c r="Y415" s="3" t="s">
        <v>363</v>
      </c>
      <c r="Z415" s="3" t="s">
        <v>363</v>
      </c>
      <c r="AA415" s="3" t="s">
        <v>363</v>
      </c>
      <c r="AB415" s="11" t="s">
        <v>398</v>
      </c>
    </row>
    <row r="416" spans="1:28" ht="17">
      <c r="A416" s="3" t="s">
        <v>244</v>
      </c>
      <c r="B416" s="3" t="s">
        <v>243</v>
      </c>
      <c r="C416" s="3">
        <v>22</v>
      </c>
      <c r="D416" s="5" t="s">
        <v>245</v>
      </c>
      <c r="E416" s="3">
        <v>3.9</v>
      </c>
      <c r="F416" s="3">
        <v>2017</v>
      </c>
      <c r="G416" s="4">
        <v>12.660600000000001</v>
      </c>
      <c r="H416" s="3">
        <v>3</v>
      </c>
      <c r="I416" s="4">
        <v>0.13907999999999987</v>
      </c>
      <c r="J416" s="4">
        <f t="shared" si="59"/>
        <v>8.0297875438893079E-2</v>
      </c>
      <c r="K416" s="4">
        <v>15.46519</v>
      </c>
      <c r="L416" s="3">
        <v>3</v>
      </c>
      <c r="M416" s="4">
        <v>0.27815000000000012</v>
      </c>
      <c r="N416" s="4">
        <f t="shared" si="60"/>
        <v>0.16058997737509448</v>
      </c>
      <c r="O416" s="4">
        <f t="shared" si="56"/>
        <v>0.20009688291029409</v>
      </c>
      <c r="P416" s="4">
        <f t="shared" si="57"/>
        <v>1.4805203231093905E-4</v>
      </c>
      <c r="Q416" s="3" t="s">
        <v>300</v>
      </c>
      <c r="R416" s="3" t="s">
        <v>246</v>
      </c>
      <c r="S416" s="3" t="s">
        <v>222</v>
      </c>
      <c r="T416" s="3" t="s">
        <v>97</v>
      </c>
      <c r="U416" s="3" t="s">
        <v>335</v>
      </c>
      <c r="V416" s="3" t="s">
        <v>332</v>
      </c>
      <c r="W416" s="3" t="s">
        <v>112</v>
      </c>
      <c r="X416" s="3" t="s">
        <v>98</v>
      </c>
      <c r="Y416" s="3" t="s">
        <v>363</v>
      </c>
      <c r="Z416" s="3" t="s">
        <v>363</v>
      </c>
      <c r="AA416" s="3" t="s">
        <v>363</v>
      </c>
      <c r="AB416" s="11" t="s">
        <v>398</v>
      </c>
    </row>
    <row r="417" spans="1:28" ht="17">
      <c r="A417" s="3" t="s">
        <v>244</v>
      </c>
      <c r="B417" s="3" t="s">
        <v>243</v>
      </c>
      <c r="C417" s="3">
        <v>23</v>
      </c>
      <c r="D417" s="5" t="s">
        <v>245</v>
      </c>
      <c r="E417" s="3">
        <v>3.9</v>
      </c>
      <c r="F417" s="3">
        <v>2017</v>
      </c>
      <c r="G417" s="4">
        <v>8.9883400000000009</v>
      </c>
      <c r="H417" s="3">
        <v>3</v>
      </c>
      <c r="I417" s="4">
        <v>0.23368999999999929</v>
      </c>
      <c r="J417" s="4">
        <f t="shared" si="59"/>
        <v>0.13492098440692324</v>
      </c>
      <c r="K417" s="4">
        <v>14.48639</v>
      </c>
      <c r="L417" s="3">
        <v>3</v>
      </c>
      <c r="M417" s="4">
        <v>0.24338000000000015</v>
      </c>
      <c r="N417" s="4">
        <f t="shared" si="60"/>
        <v>0.1405155085153712</v>
      </c>
      <c r="O417" s="4">
        <f t="shared" si="56"/>
        <v>0.47728140613362324</v>
      </c>
      <c r="P417" s="4">
        <f t="shared" si="57"/>
        <v>3.1940682933310387E-4</v>
      </c>
      <c r="Q417" s="3" t="s">
        <v>300</v>
      </c>
      <c r="R417" s="3" t="s">
        <v>246</v>
      </c>
      <c r="S417" s="3" t="s">
        <v>222</v>
      </c>
      <c r="T417" s="3" t="s">
        <v>97</v>
      </c>
      <c r="U417" s="3" t="s">
        <v>335</v>
      </c>
      <c r="V417" s="3" t="s">
        <v>332</v>
      </c>
      <c r="W417" s="3" t="s">
        <v>112</v>
      </c>
      <c r="X417" s="3" t="s">
        <v>98</v>
      </c>
      <c r="Y417" s="3" t="s">
        <v>363</v>
      </c>
      <c r="Z417" s="3" t="s">
        <v>363</v>
      </c>
      <c r="AA417" s="3" t="s">
        <v>363</v>
      </c>
      <c r="AB417" s="11" t="s">
        <v>398</v>
      </c>
    </row>
    <row r="418" spans="1:28" ht="17">
      <c r="A418" s="3" t="s">
        <v>244</v>
      </c>
      <c r="B418" s="3" t="s">
        <v>243</v>
      </c>
      <c r="C418" s="3">
        <v>24</v>
      </c>
      <c r="D418" s="5" t="s">
        <v>245</v>
      </c>
      <c r="E418" s="3">
        <v>3.9</v>
      </c>
      <c r="F418" s="3">
        <v>2017</v>
      </c>
      <c r="G418" s="4">
        <v>8.8681900000000002</v>
      </c>
      <c r="H418" s="3">
        <v>3</v>
      </c>
      <c r="I418" s="4">
        <v>0.26053999999999888</v>
      </c>
      <c r="J418" s="4">
        <f t="shared" si="59"/>
        <v>0.15042283913466445</v>
      </c>
      <c r="K418" s="4">
        <v>10.85374</v>
      </c>
      <c r="L418" s="3">
        <v>3</v>
      </c>
      <c r="M418" s="4">
        <v>0.24338000000000015</v>
      </c>
      <c r="N418" s="4">
        <f t="shared" si="60"/>
        <v>0.1405155085153712</v>
      </c>
      <c r="O418" s="4">
        <f t="shared" si="56"/>
        <v>0.20203900417762585</v>
      </c>
      <c r="P418" s="4">
        <f t="shared" si="57"/>
        <v>4.5531779054200751E-4</v>
      </c>
      <c r="Q418" s="3" t="s">
        <v>300</v>
      </c>
      <c r="R418" s="3" t="s">
        <v>246</v>
      </c>
      <c r="S418" s="3" t="s">
        <v>222</v>
      </c>
      <c r="T418" s="3" t="s">
        <v>97</v>
      </c>
      <c r="U418" s="3" t="s">
        <v>335</v>
      </c>
      <c r="V418" s="3" t="s">
        <v>332</v>
      </c>
      <c r="W418" s="3" t="s">
        <v>112</v>
      </c>
      <c r="X418" s="3" t="s">
        <v>98</v>
      </c>
      <c r="Y418" s="3" t="s">
        <v>363</v>
      </c>
      <c r="Z418" s="3" t="s">
        <v>363</v>
      </c>
      <c r="AA418" s="3" t="s">
        <v>363</v>
      </c>
      <c r="AB418" s="11" t="s">
        <v>398</v>
      </c>
    </row>
    <row r="419" spans="1:28" ht="17">
      <c r="A419" s="3" t="s">
        <v>244</v>
      </c>
      <c r="B419" s="3" t="s">
        <v>243</v>
      </c>
      <c r="C419" s="3">
        <v>25</v>
      </c>
      <c r="D419" s="5" t="s">
        <v>245</v>
      </c>
      <c r="E419" s="3">
        <v>3.9</v>
      </c>
      <c r="F419" s="3">
        <v>2017</v>
      </c>
      <c r="G419" s="4">
        <v>8.1979000000000006</v>
      </c>
      <c r="H419" s="3">
        <v>3</v>
      </c>
      <c r="I419" s="4">
        <v>4.202999999999868E-2</v>
      </c>
      <c r="J419" s="4">
        <f t="shared" si="59"/>
        <v>2.4266031814039211E-2</v>
      </c>
      <c r="K419" s="4">
        <v>10.998530000000001</v>
      </c>
      <c r="L419" s="3">
        <v>3</v>
      </c>
      <c r="M419" s="4">
        <v>0.15645999999999916</v>
      </c>
      <c r="N419" s="4">
        <f t="shared" si="60"/>
        <v>9.0332223117408364E-2</v>
      </c>
      <c r="O419" s="4">
        <f t="shared" si="56"/>
        <v>0.29388360359394811</v>
      </c>
      <c r="P419" s="4">
        <f t="shared" si="57"/>
        <v>7.6217083850022539E-5</v>
      </c>
      <c r="Q419" s="3" t="s">
        <v>300</v>
      </c>
      <c r="R419" s="3" t="s">
        <v>246</v>
      </c>
      <c r="S419" s="3" t="s">
        <v>222</v>
      </c>
      <c r="T419" s="3" t="s">
        <v>97</v>
      </c>
      <c r="U419" s="3" t="s">
        <v>335</v>
      </c>
      <c r="V419" s="3" t="s">
        <v>332</v>
      </c>
      <c r="W419" s="3" t="s">
        <v>112</v>
      </c>
      <c r="X419" s="3" t="s">
        <v>98</v>
      </c>
      <c r="Y419" s="3" t="s">
        <v>363</v>
      </c>
      <c r="Z419" s="3" t="s">
        <v>363</v>
      </c>
      <c r="AA419" s="3" t="s">
        <v>363</v>
      </c>
      <c r="AB419" s="11" t="s">
        <v>398</v>
      </c>
    </row>
    <row r="420" spans="1:28" ht="17">
      <c r="A420" s="3" t="s">
        <v>244</v>
      </c>
      <c r="B420" s="3" t="s">
        <v>243</v>
      </c>
      <c r="C420" s="3">
        <v>26</v>
      </c>
      <c r="D420" s="5" t="s">
        <v>245</v>
      </c>
      <c r="E420" s="3">
        <v>3.9</v>
      </c>
      <c r="F420" s="3">
        <v>2017</v>
      </c>
      <c r="G420" s="4">
        <v>10.79696</v>
      </c>
      <c r="H420" s="3">
        <v>3</v>
      </c>
      <c r="I420" s="4">
        <v>0.22599999999999909</v>
      </c>
      <c r="J420" s="4">
        <f t="shared" si="59"/>
        <v>0.1304811608368549</v>
      </c>
      <c r="K420" s="4">
        <v>11.827920000000001</v>
      </c>
      <c r="L420" s="3">
        <v>3</v>
      </c>
      <c r="M420" s="4">
        <v>0.2955299999999994</v>
      </c>
      <c r="N420" s="4">
        <f t="shared" si="60"/>
        <v>0.17062432505360978</v>
      </c>
      <c r="O420" s="4">
        <f t="shared" si="56"/>
        <v>9.1198225330244201E-2</v>
      </c>
      <c r="P420" s="4">
        <f t="shared" si="57"/>
        <v>3.5414367200088193E-4</v>
      </c>
      <c r="Q420" s="3" t="s">
        <v>300</v>
      </c>
      <c r="R420" s="3" t="s">
        <v>246</v>
      </c>
      <c r="S420" s="3" t="s">
        <v>222</v>
      </c>
      <c r="T420" s="3" t="s">
        <v>97</v>
      </c>
      <c r="U420" s="3" t="s">
        <v>335</v>
      </c>
      <c r="V420" s="3" t="s">
        <v>332</v>
      </c>
      <c r="W420" s="3" t="s">
        <v>112</v>
      </c>
      <c r="X420" s="3" t="s">
        <v>98</v>
      </c>
      <c r="Y420" s="3" t="s">
        <v>363</v>
      </c>
      <c r="Z420" s="3" t="s">
        <v>363</v>
      </c>
      <c r="AA420" s="3" t="s">
        <v>363</v>
      </c>
      <c r="AB420" s="11" t="s">
        <v>398</v>
      </c>
    </row>
    <row r="421" spans="1:28" ht="17">
      <c r="A421" s="3" t="s">
        <v>244</v>
      </c>
      <c r="B421" s="3" t="s">
        <v>243</v>
      </c>
      <c r="C421" s="3">
        <v>27</v>
      </c>
      <c r="D421" s="5" t="s">
        <v>245</v>
      </c>
      <c r="E421" s="3">
        <v>3.9</v>
      </c>
      <c r="F421" s="3">
        <v>2017</v>
      </c>
      <c r="G421" s="4">
        <v>11.45735</v>
      </c>
      <c r="H421" s="3">
        <v>3</v>
      </c>
      <c r="I421" s="4">
        <v>0.34768000000000043</v>
      </c>
      <c r="J421" s="4">
        <f t="shared" si="59"/>
        <v>0.20073314159184935</v>
      </c>
      <c r="K421" s="4">
        <v>13.309760000000001</v>
      </c>
      <c r="L421" s="3">
        <v>3</v>
      </c>
      <c r="M421" s="4">
        <v>0.3201799999999988</v>
      </c>
      <c r="N421" s="4">
        <f t="shared" si="60"/>
        <v>0.1848560091891337</v>
      </c>
      <c r="O421" s="4">
        <f t="shared" si="56"/>
        <v>0.14986615523501162</v>
      </c>
      <c r="P421" s="4">
        <f t="shared" si="57"/>
        <v>4.9984907382340151E-4</v>
      </c>
      <c r="Q421" s="3" t="s">
        <v>300</v>
      </c>
      <c r="R421" s="3" t="s">
        <v>246</v>
      </c>
      <c r="S421" s="3" t="s">
        <v>222</v>
      </c>
      <c r="T421" s="3" t="s">
        <v>97</v>
      </c>
      <c r="U421" s="3" t="s">
        <v>335</v>
      </c>
      <c r="V421" s="3" t="s">
        <v>332</v>
      </c>
      <c r="W421" s="3" t="s">
        <v>112</v>
      </c>
      <c r="X421" s="3" t="s">
        <v>98</v>
      </c>
      <c r="Y421" s="3" t="s">
        <v>363</v>
      </c>
      <c r="Z421" s="3" t="s">
        <v>363</v>
      </c>
      <c r="AA421" s="3" t="s">
        <v>363</v>
      </c>
      <c r="AB421" s="11" t="s">
        <v>398</v>
      </c>
    </row>
    <row r="422" spans="1:28" ht="17">
      <c r="A422" s="3" t="s">
        <v>244</v>
      </c>
      <c r="B422" s="3" t="s">
        <v>243</v>
      </c>
      <c r="C422" s="3">
        <v>28</v>
      </c>
      <c r="D422" s="5" t="s">
        <v>245</v>
      </c>
      <c r="E422" s="3">
        <v>3.9</v>
      </c>
      <c r="F422" s="3">
        <v>2017</v>
      </c>
      <c r="G422" s="4">
        <v>12.645200000000001</v>
      </c>
      <c r="H422" s="3">
        <v>3</v>
      </c>
      <c r="I422" s="4">
        <v>0.39015999999999984</v>
      </c>
      <c r="J422" s="4">
        <f t="shared" si="59"/>
        <v>0.2252589810270243</v>
      </c>
      <c r="K422" s="4">
        <v>15.272209999999999</v>
      </c>
      <c r="L422" s="3">
        <v>3</v>
      </c>
      <c r="M422" s="4">
        <v>0.31313000000000102</v>
      </c>
      <c r="N422" s="4">
        <f t="shared" si="60"/>
        <v>0.18078568979134813</v>
      </c>
      <c r="O422" s="4">
        <f t="shared" si="56"/>
        <v>0.18875714045857955</v>
      </c>
      <c r="P422" s="4">
        <f t="shared" si="57"/>
        <v>4.5745904484733896E-4</v>
      </c>
      <c r="Q422" s="3" t="s">
        <v>300</v>
      </c>
      <c r="R422" s="3" t="s">
        <v>246</v>
      </c>
      <c r="S422" s="3" t="s">
        <v>222</v>
      </c>
      <c r="T422" s="3" t="s">
        <v>97</v>
      </c>
      <c r="U422" s="3" t="s">
        <v>335</v>
      </c>
      <c r="V422" s="3" t="s">
        <v>332</v>
      </c>
      <c r="W422" s="3" t="s">
        <v>112</v>
      </c>
      <c r="X422" s="3" t="s">
        <v>98</v>
      </c>
      <c r="Y422" s="3" t="s">
        <v>363</v>
      </c>
      <c r="Z422" s="3" t="s">
        <v>363</v>
      </c>
      <c r="AA422" s="3" t="s">
        <v>363</v>
      </c>
      <c r="AB422" s="11" t="s">
        <v>398</v>
      </c>
    </row>
    <row r="423" spans="1:28" ht="17">
      <c r="A423" s="3" t="s">
        <v>244</v>
      </c>
      <c r="B423" s="3" t="s">
        <v>243</v>
      </c>
      <c r="C423" s="3">
        <v>29</v>
      </c>
      <c r="D423" s="5" t="s">
        <v>245</v>
      </c>
      <c r="E423" s="3">
        <v>3.9</v>
      </c>
      <c r="F423" s="3">
        <v>2017</v>
      </c>
      <c r="G423" s="4">
        <v>9.18</v>
      </c>
      <c r="H423" s="3">
        <v>3</v>
      </c>
      <c r="I423" s="4">
        <v>0.18177000000000021</v>
      </c>
      <c r="J423" s="4">
        <f t="shared" si="59"/>
        <v>0.10494495843059841</v>
      </c>
      <c r="K423" s="4">
        <v>10.9598</v>
      </c>
      <c r="L423" s="3">
        <v>3</v>
      </c>
      <c r="M423" s="4">
        <v>0.17384999999999984</v>
      </c>
      <c r="N423" s="4">
        <f t="shared" si="60"/>
        <v>0.10037234429861636</v>
      </c>
      <c r="O423" s="4">
        <f t="shared" si="56"/>
        <v>0.17720682854578787</v>
      </c>
      <c r="P423" s="4">
        <f t="shared" si="57"/>
        <v>2.1456176278696114E-4</v>
      </c>
      <c r="Q423" s="3" t="s">
        <v>300</v>
      </c>
      <c r="R423" s="3" t="s">
        <v>246</v>
      </c>
      <c r="S423" s="3" t="s">
        <v>222</v>
      </c>
      <c r="T423" s="3" t="s">
        <v>97</v>
      </c>
      <c r="U423" s="3" t="s">
        <v>335</v>
      </c>
      <c r="V423" s="3" t="s">
        <v>332</v>
      </c>
      <c r="W423" s="3" t="s">
        <v>112</v>
      </c>
      <c r="X423" s="3" t="s">
        <v>98</v>
      </c>
      <c r="Y423" s="3" t="s">
        <v>363</v>
      </c>
      <c r="Z423" s="3" t="s">
        <v>363</v>
      </c>
      <c r="AA423" s="3" t="s">
        <v>363</v>
      </c>
      <c r="AB423" s="11" t="s">
        <v>398</v>
      </c>
    </row>
    <row r="424" spans="1:28" ht="17">
      <c r="A424" s="3" t="s">
        <v>244</v>
      </c>
      <c r="B424" s="3" t="s">
        <v>243</v>
      </c>
      <c r="C424" s="3">
        <v>30</v>
      </c>
      <c r="D424" s="5" t="s">
        <v>245</v>
      </c>
      <c r="E424" s="3">
        <v>3.9</v>
      </c>
      <c r="F424" s="3">
        <v>2017</v>
      </c>
      <c r="G424" s="4">
        <v>5.8952499999999999</v>
      </c>
      <c r="H424" s="3">
        <v>3</v>
      </c>
      <c r="I424" s="4">
        <v>0.29553999999999991</v>
      </c>
      <c r="J424" s="4">
        <f t="shared" si="59"/>
        <v>0.17063009855630196</v>
      </c>
      <c r="K424" s="4">
        <v>7.7923400000000003</v>
      </c>
      <c r="L424" s="3">
        <v>3</v>
      </c>
      <c r="M424" s="4">
        <v>0.84940999999999978</v>
      </c>
      <c r="N424" s="4">
        <f t="shared" si="60"/>
        <v>0.49040709215235995</v>
      </c>
      <c r="O424" s="4">
        <f t="shared" si="56"/>
        <v>0.27899425797405658</v>
      </c>
      <c r="P424" s="4">
        <f t="shared" si="57"/>
        <v>4.7984877537445517E-3</v>
      </c>
      <c r="Q424" s="3" t="s">
        <v>300</v>
      </c>
      <c r="R424" s="3" t="s">
        <v>246</v>
      </c>
      <c r="S424" s="3" t="s">
        <v>222</v>
      </c>
      <c r="T424" s="3" t="s">
        <v>97</v>
      </c>
      <c r="U424" s="3" t="s">
        <v>335</v>
      </c>
      <c r="V424" s="3" t="s">
        <v>332</v>
      </c>
      <c r="W424" s="3" t="s">
        <v>112</v>
      </c>
      <c r="X424" s="3" t="s">
        <v>98</v>
      </c>
      <c r="Y424" s="3" t="s">
        <v>363</v>
      </c>
      <c r="Z424" s="3" t="s">
        <v>363</v>
      </c>
      <c r="AA424" s="3" t="s">
        <v>363</v>
      </c>
      <c r="AB424" s="11" t="s">
        <v>398</v>
      </c>
    </row>
    <row r="425" spans="1:28" ht="17">
      <c r="A425" s="3" t="s">
        <v>244</v>
      </c>
      <c r="B425" s="3" t="s">
        <v>243</v>
      </c>
      <c r="C425" s="3">
        <v>31</v>
      </c>
      <c r="D425" s="5" t="s">
        <v>245</v>
      </c>
      <c r="E425" s="3">
        <v>3.9</v>
      </c>
      <c r="F425" s="3">
        <v>2017</v>
      </c>
      <c r="G425" s="4">
        <v>6.5939300000000003</v>
      </c>
      <c r="H425" s="3">
        <v>3</v>
      </c>
      <c r="I425" s="4">
        <v>0.10429999999999939</v>
      </c>
      <c r="J425" s="4">
        <f t="shared" si="59"/>
        <v>6.0217633076477622E-2</v>
      </c>
      <c r="K425" s="4">
        <v>9.0022000000000002</v>
      </c>
      <c r="L425" s="3">
        <v>3</v>
      </c>
      <c r="M425" s="4">
        <v>9.4839999999999591E-2</v>
      </c>
      <c r="N425" s="4">
        <f t="shared" si="60"/>
        <v>5.4755899529943877E-2</v>
      </c>
      <c r="O425" s="4">
        <f t="shared" si="56"/>
        <v>0.31131946302704888</v>
      </c>
      <c r="P425" s="4">
        <f t="shared" si="57"/>
        <v>1.2039541851575417E-4</v>
      </c>
      <c r="Q425" s="3" t="s">
        <v>300</v>
      </c>
      <c r="R425" s="3" t="s">
        <v>246</v>
      </c>
      <c r="S425" s="3" t="s">
        <v>222</v>
      </c>
      <c r="T425" s="3" t="s">
        <v>97</v>
      </c>
      <c r="U425" s="3" t="s">
        <v>335</v>
      </c>
      <c r="V425" s="3" t="s">
        <v>332</v>
      </c>
      <c r="W425" s="3" t="s">
        <v>112</v>
      </c>
      <c r="X425" s="3" t="s">
        <v>98</v>
      </c>
      <c r="Y425" s="3" t="s">
        <v>363</v>
      </c>
      <c r="Z425" s="3" t="s">
        <v>363</v>
      </c>
      <c r="AA425" s="3" t="s">
        <v>363</v>
      </c>
      <c r="AB425" s="11" t="s">
        <v>398</v>
      </c>
    </row>
    <row r="426" spans="1:28" ht="17">
      <c r="A426" s="3" t="s">
        <v>244</v>
      </c>
      <c r="B426" s="3" t="s">
        <v>243</v>
      </c>
      <c r="C426" s="3">
        <v>32</v>
      </c>
      <c r="D426" s="5" t="s">
        <v>245</v>
      </c>
      <c r="E426" s="3">
        <v>3.9</v>
      </c>
      <c r="F426" s="3">
        <v>2017</v>
      </c>
      <c r="G426" s="4">
        <v>8.5176400000000001</v>
      </c>
      <c r="H426" s="3">
        <v>3</v>
      </c>
      <c r="I426" s="4">
        <v>0.20861000000000018</v>
      </c>
      <c r="J426" s="4">
        <f t="shared" si="59"/>
        <v>0.12044103965564794</v>
      </c>
      <c r="K426" s="4">
        <v>10.087949999999999</v>
      </c>
      <c r="L426" s="3">
        <v>3</v>
      </c>
      <c r="M426" s="4">
        <v>0.2497600000000002</v>
      </c>
      <c r="N426" s="4">
        <f t="shared" si="60"/>
        <v>0.14419900323280105</v>
      </c>
      <c r="O426" s="4">
        <f t="shared" si="56"/>
        <v>0.16920233510073832</v>
      </c>
      <c r="P426" s="4">
        <f t="shared" si="57"/>
        <v>4.0426861287002865E-4</v>
      </c>
      <c r="Q426" s="3" t="s">
        <v>300</v>
      </c>
      <c r="R426" s="3" t="s">
        <v>246</v>
      </c>
      <c r="S426" s="3" t="s">
        <v>222</v>
      </c>
      <c r="T426" s="3" t="s">
        <v>97</v>
      </c>
      <c r="U426" s="3" t="s">
        <v>335</v>
      </c>
      <c r="V426" s="3" t="s">
        <v>332</v>
      </c>
      <c r="W426" s="3" t="s">
        <v>112</v>
      </c>
      <c r="X426" s="3" t="s">
        <v>98</v>
      </c>
      <c r="Y426" s="3" t="s">
        <v>363</v>
      </c>
      <c r="Z426" s="3" t="s">
        <v>363</v>
      </c>
      <c r="AA426" s="3" t="s">
        <v>363</v>
      </c>
      <c r="AB426" s="11" t="s">
        <v>398</v>
      </c>
    </row>
    <row r="427" spans="1:28" ht="17">
      <c r="A427" s="3" t="s">
        <v>244</v>
      </c>
      <c r="B427" s="3" t="s">
        <v>243</v>
      </c>
      <c r="C427" s="3">
        <v>33</v>
      </c>
      <c r="D427" s="5" t="s">
        <v>245</v>
      </c>
      <c r="E427" s="3">
        <v>3.9</v>
      </c>
      <c r="F427" s="3">
        <v>2017</v>
      </c>
      <c r="G427" s="4">
        <v>8.9669899999999991</v>
      </c>
      <c r="H427" s="3">
        <v>3</v>
      </c>
      <c r="I427" s="4">
        <v>0.27793000000000134</v>
      </c>
      <c r="J427" s="4">
        <f t="shared" si="59"/>
        <v>0.16046296031587348</v>
      </c>
      <c r="K427" s="4">
        <v>10.693759999999999</v>
      </c>
      <c r="L427" s="3">
        <v>3</v>
      </c>
      <c r="M427" s="4">
        <v>0.22599000000000125</v>
      </c>
      <c r="N427" s="4">
        <f t="shared" si="60"/>
        <v>0.13047538733416425</v>
      </c>
      <c r="O427" s="4">
        <f t="shared" si="56"/>
        <v>0.17611033701447673</v>
      </c>
      <c r="P427" s="4">
        <f t="shared" si="57"/>
        <v>4.6909200936043197E-4</v>
      </c>
      <c r="Q427" s="3" t="s">
        <v>300</v>
      </c>
      <c r="R427" s="3" t="s">
        <v>246</v>
      </c>
      <c r="S427" s="3" t="s">
        <v>222</v>
      </c>
      <c r="T427" s="3" t="s">
        <v>97</v>
      </c>
      <c r="U427" s="3" t="s">
        <v>335</v>
      </c>
      <c r="V427" s="3" t="s">
        <v>332</v>
      </c>
      <c r="W427" s="3" t="s">
        <v>112</v>
      </c>
      <c r="X427" s="3" t="s">
        <v>98</v>
      </c>
      <c r="Y427" s="3" t="s">
        <v>363</v>
      </c>
      <c r="Z427" s="3" t="s">
        <v>363</v>
      </c>
      <c r="AA427" s="3" t="s">
        <v>363</v>
      </c>
      <c r="AB427" s="11" t="s">
        <v>398</v>
      </c>
    </row>
    <row r="428" spans="1:28" ht="17">
      <c r="A428" s="3" t="s">
        <v>244</v>
      </c>
      <c r="B428" s="3" t="s">
        <v>243</v>
      </c>
      <c r="C428" s="3">
        <v>34</v>
      </c>
      <c r="D428" s="5" t="s">
        <v>245</v>
      </c>
      <c r="E428" s="3">
        <v>3.9</v>
      </c>
      <c r="F428" s="3">
        <v>2017</v>
      </c>
      <c r="G428" s="4">
        <v>11.25886</v>
      </c>
      <c r="H428" s="3">
        <v>3</v>
      </c>
      <c r="I428" s="4">
        <v>0.1912199999999995</v>
      </c>
      <c r="J428" s="4">
        <f t="shared" si="59"/>
        <v>0.11040091847443996</v>
      </c>
      <c r="K428" s="4">
        <v>10.469519999999999</v>
      </c>
      <c r="L428" s="3">
        <v>3</v>
      </c>
      <c r="M428" s="4">
        <v>1.6556899999999999</v>
      </c>
      <c r="N428" s="4">
        <f t="shared" si="60"/>
        <v>0.95591306719457148</v>
      </c>
      <c r="O428" s="4">
        <f t="shared" si="56"/>
        <v>-7.2687195687525005E-2</v>
      </c>
      <c r="P428" s="4">
        <f t="shared" si="57"/>
        <v>8.4326420167506067E-3</v>
      </c>
      <c r="Q428" s="3" t="s">
        <v>300</v>
      </c>
      <c r="R428" s="3" t="s">
        <v>246</v>
      </c>
      <c r="S428" s="3" t="s">
        <v>222</v>
      </c>
      <c r="T428" s="3" t="s">
        <v>97</v>
      </c>
      <c r="U428" s="3" t="s">
        <v>335</v>
      </c>
      <c r="V428" s="3" t="s">
        <v>332</v>
      </c>
      <c r="W428" s="3" t="s">
        <v>112</v>
      </c>
      <c r="X428" s="3" t="s">
        <v>98</v>
      </c>
      <c r="Y428" s="3" t="s">
        <v>363</v>
      </c>
      <c r="Z428" s="3" t="s">
        <v>363</v>
      </c>
      <c r="AA428" s="3" t="s">
        <v>363</v>
      </c>
      <c r="AB428" s="11" t="s">
        <v>398</v>
      </c>
    </row>
    <row r="429" spans="1:28" ht="17">
      <c r="A429" s="3" t="s">
        <v>244</v>
      </c>
      <c r="B429" s="3" t="s">
        <v>243</v>
      </c>
      <c r="C429" s="3">
        <v>35</v>
      </c>
      <c r="D429" s="5" t="s">
        <v>245</v>
      </c>
      <c r="E429" s="3">
        <v>3.9</v>
      </c>
      <c r="F429" s="3">
        <v>2017</v>
      </c>
      <c r="G429" s="4">
        <v>8.6624400000000001</v>
      </c>
      <c r="H429" s="3">
        <v>3</v>
      </c>
      <c r="I429" s="4">
        <v>0.31291000000000047</v>
      </c>
      <c r="J429" s="4">
        <f t="shared" si="59"/>
        <v>0.18065867273212607</v>
      </c>
      <c r="K429" s="4">
        <v>11.69853</v>
      </c>
      <c r="L429" s="3">
        <v>3</v>
      </c>
      <c r="M429" s="4">
        <v>0.15755000000000052</v>
      </c>
      <c r="N429" s="4">
        <f t="shared" si="60"/>
        <v>9.0961534910825842E-2</v>
      </c>
      <c r="O429" s="4">
        <f t="shared" si="56"/>
        <v>0.300466754799467</v>
      </c>
      <c r="P429" s="4">
        <f t="shared" si="57"/>
        <v>4.9540570128298067E-4</v>
      </c>
      <c r="Q429" s="3" t="s">
        <v>300</v>
      </c>
      <c r="R429" s="3" t="s">
        <v>246</v>
      </c>
      <c r="S429" s="3" t="s">
        <v>222</v>
      </c>
      <c r="T429" s="3" t="s">
        <v>97</v>
      </c>
      <c r="U429" s="3" t="s">
        <v>335</v>
      </c>
      <c r="V429" s="3" t="s">
        <v>332</v>
      </c>
      <c r="W429" s="3" t="s">
        <v>112</v>
      </c>
      <c r="X429" s="3" t="s">
        <v>98</v>
      </c>
      <c r="Y429" s="3" t="s">
        <v>363</v>
      </c>
      <c r="Z429" s="3" t="s">
        <v>363</v>
      </c>
      <c r="AA429" s="3" t="s">
        <v>363</v>
      </c>
      <c r="AB429" s="11" t="s">
        <v>398</v>
      </c>
    </row>
    <row r="430" spans="1:28" ht="17">
      <c r="A430" s="3" t="s">
        <v>244</v>
      </c>
      <c r="B430" s="3" t="s">
        <v>243</v>
      </c>
      <c r="C430" s="3">
        <v>36</v>
      </c>
      <c r="D430" s="5" t="s">
        <v>245</v>
      </c>
      <c r="E430" s="3">
        <v>3.9</v>
      </c>
      <c r="F430" s="3">
        <v>2017</v>
      </c>
      <c r="G430" s="4">
        <v>7.9565000000000001</v>
      </c>
      <c r="H430" s="3">
        <v>3</v>
      </c>
      <c r="I430" s="4">
        <v>0.27837000000000067</v>
      </c>
      <c r="J430" s="4">
        <f t="shared" si="59"/>
        <v>0.16071699443431653</v>
      </c>
      <c r="K430" s="4">
        <v>9.83291</v>
      </c>
      <c r="L430" s="3">
        <v>3</v>
      </c>
      <c r="M430" s="4">
        <v>0.21674999999999933</v>
      </c>
      <c r="N430" s="4">
        <f t="shared" si="60"/>
        <v>0.12514067084685102</v>
      </c>
      <c r="O430" s="4">
        <f t="shared" si="56"/>
        <v>0.21174571823539101</v>
      </c>
      <c r="P430" s="4">
        <f t="shared" si="57"/>
        <v>5.69987484593566E-4</v>
      </c>
      <c r="Q430" s="3" t="s">
        <v>300</v>
      </c>
      <c r="R430" s="3" t="s">
        <v>246</v>
      </c>
      <c r="S430" s="3" t="s">
        <v>222</v>
      </c>
      <c r="T430" s="3" t="s">
        <v>97</v>
      </c>
      <c r="U430" s="3" t="s">
        <v>335</v>
      </c>
      <c r="V430" s="3" t="s">
        <v>332</v>
      </c>
      <c r="W430" s="3" t="s">
        <v>112</v>
      </c>
      <c r="X430" s="3" t="s">
        <v>98</v>
      </c>
      <c r="Y430" s="3" t="s">
        <v>363</v>
      </c>
      <c r="Z430" s="3" t="s">
        <v>363</v>
      </c>
      <c r="AA430" s="3" t="s">
        <v>363</v>
      </c>
      <c r="AB430" s="11" t="s">
        <v>398</v>
      </c>
    </row>
    <row r="431" spans="1:28">
      <c r="A431" s="3" t="s">
        <v>250</v>
      </c>
      <c r="B431" s="3" t="s">
        <v>249</v>
      </c>
      <c r="C431" s="3">
        <v>1</v>
      </c>
      <c r="D431" s="3" t="s">
        <v>247</v>
      </c>
      <c r="E431" s="3">
        <v>3.9</v>
      </c>
      <c r="F431" s="3">
        <v>2020</v>
      </c>
      <c r="G431" s="4">
        <v>1.48</v>
      </c>
      <c r="H431" s="3">
        <v>12</v>
      </c>
      <c r="I431" s="4">
        <f t="shared" ref="I431:I469" si="61" xml:space="preserve"> J431 * SQRT(H431)</f>
        <v>1.6974097914174997</v>
      </c>
      <c r="J431" s="4">
        <v>0.49</v>
      </c>
      <c r="K431" s="4">
        <v>1.23</v>
      </c>
      <c r="L431" s="3">
        <v>12</v>
      </c>
      <c r="M431" s="4">
        <f t="shared" ref="M431:M469" si="62" xml:space="preserve"> N431 * SQRT(L431)</f>
        <v>1.5588457268119895</v>
      </c>
      <c r="N431" s="4">
        <v>0.45</v>
      </c>
      <c r="O431" s="4">
        <f t="shared" si="56"/>
        <v>-0.18502791839169763</v>
      </c>
      <c r="P431" s="4">
        <f t="shared" si="57"/>
        <v>0.24346358171442178</v>
      </c>
      <c r="Q431" s="3" t="s">
        <v>287</v>
      </c>
      <c r="R431" s="3" t="s">
        <v>171</v>
      </c>
      <c r="S431" s="3" t="s">
        <v>221</v>
      </c>
      <c r="T431" s="3" t="s">
        <v>8</v>
      </c>
      <c r="U431" s="3" t="s">
        <v>165</v>
      </c>
      <c r="V431" s="3" t="s">
        <v>165</v>
      </c>
      <c r="W431" s="3" t="s">
        <v>112</v>
      </c>
      <c r="X431" s="3" t="s">
        <v>98</v>
      </c>
      <c r="Y431" s="3" t="s">
        <v>363</v>
      </c>
      <c r="Z431" s="3" t="s">
        <v>363</v>
      </c>
      <c r="AA431" s="3" t="s">
        <v>363</v>
      </c>
      <c r="AB431" s="11" t="s">
        <v>397</v>
      </c>
    </row>
    <row r="432" spans="1:28">
      <c r="A432" s="3" t="s">
        <v>250</v>
      </c>
      <c r="B432" s="3" t="s">
        <v>248</v>
      </c>
      <c r="C432" s="3">
        <v>2</v>
      </c>
      <c r="D432" s="3" t="s">
        <v>247</v>
      </c>
      <c r="E432" s="3">
        <v>3.9</v>
      </c>
      <c r="F432" s="3">
        <v>2020</v>
      </c>
      <c r="G432" s="4">
        <v>0.94</v>
      </c>
      <c r="H432" s="3">
        <v>12</v>
      </c>
      <c r="I432" s="4">
        <f xml:space="preserve"> J432 * SQRT(H432)</f>
        <v>1.8013328398716324</v>
      </c>
      <c r="J432" s="4">
        <v>0.52</v>
      </c>
      <c r="K432" s="4">
        <v>0.91</v>
      </c>
      <c r="L432" s="3">
        <v>12</v>
      </c>
      <c r="M432" s="4">
        <f t="shared" si="62"/>
        <v>1.4895636945092343</v>
      </c>
      <c r="N432" s="4">
        <v>0.43</v>
      </c>
      <c r="O432" s="4">
        <f t="shared" si="56"/>
        <v>-3.2435275753153733E-2</v>
      </c>
      <c r="P432" s="4">
        <f t="shared" si="57"/>
        <v>0.52930303619541941</v>
      </c>
      <c r="Q432" s="3" t="s">
        <v>287</v>
      </c>
      <c r="R432" s="3" t="s">
        <v>171</v>
      </c>
      <c r="S432" s="3" t="s">
        <v>221</v>
      </c>
      <c r="T432" s="3" t="s">
        <v>8</v>
      </c>
      <c r="U432" s="3" t="s">
        <v>165</v>
      </c>
      <c r="V432" s="3" t="s">
        <v>165</v>
      </c>
      <c r="W432" s="3" t="s">
        <v>112</v>
      </c>
      <c r="X432" s="3" t="s">
        <v>98</v>
      </c>
      <c r="Y432" s="3" t="s">
        <v>363</v>
      </c>
      <c r="Z432" s="3" t="s">
        <v>363</v>
      </c>
      <c r="AA432" s="3" t="s">
        <v>363</v>
      </c>
      <c r="AB432" s="11" t="s">
        <v>397</v>
      </c>
    </row>
    <row r="433" spans="1:28">
      <c r="A433" s="3" t="s">
        <v>250</v>
      </c>
      <c r="B433" s="3" t="s">
        <v>249</v>
      </c>
      <c r="C433" s="3">
        <v>3</v>
      </c>
      <c r="D433" s="3" t="s">
        <v>247</v>
      </c>
      <c r="E433" s="3">
        <v>3.9</v>
      </c>
      <c r="F433" s="3">
        <v>2020</v>
      </c>
      <c r="G433" s="4">
        <v>0.71</v>
      </c>
      <c r="H433" s="3">
        <v>12</v>
      </c>
      <c r="I433" s="4">
        <f t="shared" si="61"/>
        <v>1.2124355652982139</v>
      </c>
      <c r="J433" s="4">
        <v>0.35</v>
      </c>
      <c r="K433" s="4">
        <v>0.68</v>
      </c>
      <c r="L433" s="3">
        <v>12</v>
      </c>
      <c r="M433" s="4">
        <f t="shared" si="62"/>
        <v>0.51961524227066314</v>
      </c>
      <c r="N433" s="4">
        <v>0.15</v>
      </c>
      <c r="O433" s="4">
        <f t="shared" si="56"/>
        <v>-4.3172171865208546E-2</v>
      </c>
      <c r="P433" s="4">
        <f t="shared" si="57"/>
        <v>0.29166650936370198</v>
      </c>
      <c r="Q433" s="3" t="s">
        <v>287</v>
      </c>
      <c r="R433" s="3" t="s">
        <v>171</v>
      </c>
      <c r="S433" s="3" t="s">
        <v>221</v>
      </c>
      <c r="T433" s="3" t="s">
        <v>8</v>
      </c>
      <c r="U433" s="3" t="s">
        <v>165</v>
      </c>
      <c r="V433" s="3" t="s">
        <v>165</v>
      </c>
      <c r="W433" s="3" t="s">
        <v>112</v>
      </c>
      <c r="X433" s="3" t="s">
        <v>98</v>
      </c>
      <c r="Y433" s="3" t="s">
        <v>363</v>
      </c>
      <c r="Z433" s="3" t="s">
        <v>363</v>
      </c>
      <c r="AA433" s="3" t="s">
        <v>363</v>
      </c>
      <c r="AB433" s="11" t="s">
        <v>397</v>
      </c>
    </row>
    <row r="434" spans="1:28">
      <c r="A434" s="3" t="s">
        <v>250</v>
      </c>
      <c r="B434" s="3" t="s">
        <v>248</v>
      </c>
      <c r="C434" s="3">
        <v>4</v>
      </c>
      <c r="D434" s="3" t="s">
        <v>247</v>
      </c>
      <c r="E434" s="3">
        <v>3.9</v>
      </c>
      <c r="F434" s="3">
        <v>2020</v>
      </c>
      <c r="G434" s="4">
        <v>0.73</v>
      </c>
      <c r="H434" s="3">
        <v>12</v>
      </c>
      <c r="I434" s="4">
        <f t="shared" si="61"/>
        <v>1.5588457268119895</v>
      </c>
      <c r="J434" s="4">
        <v>0.45</v>
      </c>
      <c r="K434" s="4">
        <v>1.19</v>
      </c>
      <c r="L434" s="3">
        <v>12</v>
      </c>
      <c r="M434" s="4">
        <f t="shared" si="62"/>
        <v>1.2817175976009691</v>
      </c>
      <c r="N434" s="4">
        <v>0.37</v>
      </c>
      <c r="O434" s="4">
        <f t="shared" si="56"/>
        <v>0.48866405196313828</v>
      </c>
      <c r="P434" s="4">
        <f t="shared" si="57"/>
        <v>0.47667021065377574</v>
      </c>
      <c r="Q434" s="3" t="s">
        <v>287</v>
      </c>
      <c r="R434" s="3" t="s">
        <v>171</v>
      </c>
      <c r="S434" s="3" t="s">
        <v>221</v>
      </c>
      <c r="T434" s="3" t="s">
        <v>8</v>
      </c>
      <c r="U434" s="3" t="s">
        <v>165</v>
      </c>
      <c r="V434" s="3" t="s">
        <v>165</v>
      </c>
      <c r="W434" s="3" t="s">
        <v>112</v>
      </c>
      <c r="X434" s="3" t="s">
        <v>98</v>
      </c>
      <c r="Y434" s="3" t="s">
        <v>363</v>
      </c>
      <c r="Z434" s="3" t="s">
        <v>363</v>
      </c>
      <c r="AA434" s="3" t="s">
        <v>363</v>
      </c>
      <c r="AB434" s="11" t="s">
        <v>397</v>
      </c>
    </row>
    <row r="435" spans="1:28">
      <c r="A435" s="3" t="s">
        <v>250</v>
      </c>
      <c r="B435" s="3" t="s">
        <v>249</v>
      </c>
      <c r="C435" s="3">
        <v>5</v>
      </c>
      <c r="D435" s="3" t="s">
        <v>247</v>
      </c>
      <c r="E435" s="3">
        <v>3.9</v>
      </c>
      <c r="F435" s="3">
        <v>2020</v>
      </c>
      <c r="G435" s="4">
        <v>1.3</v>
      </c>
      <c r="H435" s="3">
        <v>12</v>
      </c>
      <c r="I435" s="4">
        <f t="shared" si="61"/>
        <v>1.2470765814495914</v>
      </c>
      <c r="J435" s="4">
        <v>0.36</v>
      </c>
      <c r="K435" s="4">
        <v>1.23</v>
      </c>
      <c r="L435" s="3">
        <v>12</v>
      </c>
      <c r="M435" s="4">
        <f t="shared" si="62"/>
        <v>1.9052558883257651</v>
      </c>
      <c r="N435" s="4">
        <v>0.55000000000000004</v>
      </c>
      <c r="O435" s="4">
        <f t="shared" si="56"/>
        <v>-5.5350095083164956E-2</v>
      </c>
      <c r="P435" s="4">
        <f t="shared" si="57"/>
        <v>0.27663351195497815</v>
      </c>
      <c r="Q435" s="3" t="s">
        <v>287</v>
      </c>
      <c r="R435" s="3" t="s">
        <v>171</v>
      </c>
      <c r="S435" s="3" t="s">
        <v>221</v>
      </c>
      <c r="T435" s="3" t="s">
        <v>8</v>
      </c>
      <c r="U435" s="3" t="s">
        <v>165</v>
      </c>
      <c r="V435" s="3" t="s">
        <v>165</v>
      </c>
      <c r="W435" s="3" t="s">
        <v>112</v>
      </c>
      <c r="X435" s="3" t="s">
        <v>98</v>
      </c>
      <c r="Y435" s="3" t="s">
        <v>363</v>
      </c>
      <c r="Z435" s="3" t="s">
        <v>363</v>
      </c>
      <c r="AA435" s="3" t="s">
        <v>363</v>
      </c>
      <c r="AB435" s="11" t="s">
        <v>397</v>
      </c>
    </row>
    <row r="436" spans="1:28">
      <c r="A436" s="3" t="s">
        <v>250</v>
      </c>
      <c r="B436" s="3" t="s">
        <v>248</v>
      </c>
      <c r="C436" s="3">
        <v>6</v>
      </c>
      <c r="D436" s="3" t="s">
        <v>247</v>
      </c>
      <c r="E436" s="3">
        <v>3.9</v>
      </c>
      <c r="F436" s="3">
        <v>2020</v>
      </c>
      <c r="G436" s="4">
        <v>1.05</v>
      </c>
      <c r="H436" s="3">
        <v>12</v>
      </c>
      <c r="I436" s="4">
        <f t="shared" si="61"/>
        <v>2.2170250336881629</v>
      </c>
      <c r="J436" s="4">
        <v>0.64</v>
      </c>
      <c r="K436" s="4">
        <v>1.25</v>
      </c>
      <c r="L436" s="3">
        <v>12</v>
      </c>
      <c r="M436" s="4">
        <f t="shared" si="62"/>
        <v>1.4202816622064791</v>
      </c>
      <c r="N436" s="4">
        <v>0.41</v>
      </c>
      <c r="O436" s="4">
        <f t="shared" si="56"/>
        <v>0.17435338714477774</v>
      </c>
      <c r="P436" s="4">
        <f t="shared" si="57"/>
        <v>0.4791032743764172</v>
      </c>
      <c r="Q436" s="3" t="s">
        <v>287</v>
      </c>
      <c r="R436" s="3" t="s">
        <v>171</v>
      </c>
      <c r="S436" s="3" t="s">
        <v>221</v>
      </c>
      <c r="T436" s="3" t="s">
        <v>8</v>
      </c>
      <c r="U436" s="3" t="s">
        <v>165</v>
      </c>
      <c r="V436" s="3" t="s">
        <v>165</v>
      </c>
      <c r="W436" s="3" t="s">
        <v>112</v>
      </c>
      <c r="X436" s="3" t="s">
        <v>98</v>
      </c>
      <c r="Y436" s="3" t="s">
        <v>363</v>
      </c>
      <c r="Z436" s="3" t="s">
        <v>363</v>
      </c>
      <c r="AA436" s="3" t="s">
        <v>363</v>
      </c>
      <c r="AB436" s="11" t="s">
        <v>397</v>
      </c>
    </row>
    <row r="437" spans="1:28">
      <c r="A437" s="3" t="s">
        <v>250</v>
      </c>
      <c r="B437" s="3" t="s">
        <v>249</v>
      </c>
      <c r="C437" s="3">
        <v>7</v>
      </c>
      <c r="D437" s="3" t="s">
        <v>247</v>
      </c>
      <c r="E437" s="3">
        <v>3.9</v>
      </c>
      <c r="F437" s="3">
        <v>2020</v>
      </c>
      <c r="G437" s="4">
        <v>1.07</v>
      </c>
      <c r="H437" s="3">
        <v>12</v>
      </c>
      <c r="I437" s="4">
        <f t="shared" si="61"/>
        <v>1.0738715006927038</v>
      </c>
      <c r="J437" s="4">
        <v>0.31</v>
      </c>
      <c r="K437" s="4">
        <v>1.23</v>
      </c>
      <c r="L437" s="3">
        <v>12</v>
      </c>
      <c r="M437" s="4">
        <f t="shared" si="62"/>
        <v>1.5588457268119895</v>
      </c>
      <c r="N437" s="4">
        <v>0.45</v>
      </c>
      <c r="O437" s="4">
        <f t="shared" si="56"/>
        <v>0.13935552091051134</v>
      </c>
      <c r="P437" s="4">
        <f t="shared" si="57"/>
        <v>0.21778636125166001</v>
      </c>
      <c r="Q437" s="3" t="s">
        <v>287</v>
      </c>
      <c r="R437" s="3" t="s">
        <v>171</v>
      </c>
      <c r="S437" s="3" t="s">
        <v>221</v>
      </c>
      <c r="T437" s="3" t="s">
        <v>8</v>
      </c>
      <c r="U437" s="3" t="s">
        <v>165</v>
      </c>
      <c r="V437" s="3" t="s">
        <v>165</v>
      </c>
      <c r="W437" s="3" t="s">
        <v>112</v>
      </c>
      <c r="X437" s="3" t="s">
        <v>98</v>
      </c>
      <c r="Y437" s="3" t="s">
        <v>363</v>
      </c>
      <c r="Z437" s="3" t="s">
        <v>363</v>
      </c>
      <c r="AA437" s="3" t="s">
        <v>363</v>
      </c>
      <c r="AB437" s="11" t="s">
        <v>397</v>
      </c>
    </row>
    <row r="438" spans="1:28">
      <c r="A438" s="3" t="s">
        <v>250</v>
      </c>
      <c r="B438" s="3" t="s">
        <v>248</v>
      </c>
      <c r="C438" s="3">
        <v>8</v>
      </c>
      <c r="D438" s="3" t="s">
        <v>247</v>
      </c>
      <c r="E438" s="3">
        <v>3.9</v>
      </c>
      <c r="F438" s="3">
        <v>2020</v>
      </c>
      <c r="G438" s="4">
        <v>0.76</v>
      </c>
      <c r="H438" s="3">
        <v>12</v>
      </c>
      <c r="I438" s="4">
        <f t="shared" si="61"/>
        <v>0.69282032302755092</v>
      </c>
      <c r="J438" s="4">
        <v>0.2</v>
      </c>
      <c r="K438" s="4">
        <v>1.06</v>
      </c>
      <c r="L438" s="3">
        <v>12</v>
      </c>
      <c r="M438" s="4">
        <f t="shared" si="62"/>
        <v>1.4549226783578568</v>
      </c>
      <c r="N438" s="4">
        <v>0.42</v>
      </c>
      <c r="O438" s="4">
        <f>LN(K438/G438)</f>
        <v>0.33270575382573614</v>
      </c>
      <c r="P438" s="4">
        <f t="shared" si="57"/>
        <v>0.22624744958083876</v>
      </c>
      <c r="Q438" s="3" t="s">
        <v>287</v>
      </c>
      <c r="R438" s="3" t="s">
        <v>171</v>
      </c>
      <c r="S438" s="3" t="s">
        <v>221</v>
      </c>
      <c r="T438" s="3" t="s">
        <v>8</v>
      </c>
      <c r="U438" s="3" t="s">
        <v>165</v>
      </c>
      <c r="V438" s="3" t="s">
        <v>165</v>
      </c>
      <c r="W438" s="3" t="s">
        <v>112</v>
      </c>
      <c r="X438" s="3" t="s">
        <v>98</v>
      </c>
      <c r="Y438" s="3" t="s">
        <v>363</v>
      </c>
      <c r="Z438" s="3" t="s">
        <v>363</v>
      </c>
      <c r="AA438" s="3" t="s">
        <v>363</v>
      </c>
      <c r="AB438" s="11" t="s">
        <v>397</v>
      </c>
    </row>
    <row r="439" spans="1:28">
      <c r="A439" s="3" t="s">
        <v>250</v>
      </c>
      <c r="B439" s="3" t="s">
        <v>248</v>
      </c>
      <c r="C439" s="3">
        <v>9</v>
      </c>
      <c r="D439" s="3" t="s">
        <v>247</v>
      </c>
      <c r="E439" s="3">
        <v>3.9</v>
      </c>
      <c r="F439" s="3">
        <v>2020</v>
      </c>
      <c r="G439" s="4">
        <v>1.01</v>
      </c>
      <c r="H439" s="3">
        <v>12</v>
      </c>
      <c r="I439" s="4">
        <f t="shared" si="61"/>
        <v>1.6974097914174997</v>
      </c>
      <c r="J439" s="4">
        <v>0.49</v>
      </c>
      <c r="K439" s="4">
        <v>1.1000000000000001</v>
      </c>
      <c r="L439" s="3">
        <v>12</v>
      </c>
      <c r="M439" s="4">
        <f t="shared" si="62"/>
        <v>1.5588457268119895</v>
      </c>
      <c r="N439" s="4">
        <v>0.45</v>
      </c>
      <c r="O439" s="4">
        <f t="shared" si="56"/>
        <v>8.535984895115685E-2</v>
      </c>
      <c r="P439" s="4">
        <f t="shared" si="57"/>
        <v>0.4027244533634281</v>
      </c>
      <c r="Q439" s="3" t="s">
        <v>287</v>
      </c>
      <c r="R439" s="3" t="s">
        <v>171</v>
      </c>
      <c r="S439" s="3" t="s">
        <v>221</v>
      </c>
      <c r="T439" s="3" t="s">
        <v>8</v>
      </c>
      <c r="U439" s="3" t="s">
        <v>165</v>
      </c>
      <c r="V439" s="3" t="s">
        <v>165</v>
      </c>
      <c r="W439" s="3" t="s">
        <v>112</v>
      </c>
      <c r="X439" s="3" t="s">
        <v>98</v>
      </c>
      <c r="Y439" s="3" t="s">
        <v>363</v>
      </c>
      <c r="Z439" s="3" t="s">
        <v>363</v>
      </c>
      <c r="AA439" s="3" t="s">
        <v>363</v>
      </c>
      <c r="AB439" s="11" t="s">
        <v>397</v>
      </c>
    </row>
    <row r="440" spans="1:28">
      <c r="A440" s="3" t="s">
        <v>253</v>
      </c>
      <c r="B440" s="3" t="s">
        <v>274</v>
      </c>
      <c r="C440" s="3">
        <v>1</v>
      </c>
      <c r="D440" s="3" t="s">
        <v>252</v>
      </c>
      <c r="E440" s="3">
        <v>1.1000000000000001</v>
      </c>
      <c r="F440" s="3">
        <v>2004</v>
      </c>
      <c r="G440" s="3">
        <v>0.35835</v>
      </c>
      <c r="H440" s="3">
        <v>50</v>
      </c>
      <c r="I440" s="4">
        <f t="shared" si="61"/>
        <v>0.31763236610899725</v>
      </c>
      <c r="J440" s="4">
        <v>4.4920000000000015E-2</v>
      </c>
      <c r="K440" s="4">
        <v>0.28893000000000002</v>
      </c>
      <c r="L440" s="3">
        <v>50</v>
      </c>
      <c r="M440" s="4">
        <f t="shared" si="62"/>
        <v>0.33460292885747411</v>
      </c>
      <c r="N440" s="4">
        <v>4.7319999999999973E-2</v>
      </c>
      <c r="O440" s="4">
        <f t="shared" si="56"/>
        <v>-0.21532571819904558</v>
      </c>
      <c r="P440" s="4">
        <f t="shared" si="57"/>
        <v>4.2536006694258159E-2</v>
      </c>
      <c r="Q440" s="3" t="s">
        <v>291</v>
      </c>
      <c r="R440" s="3" t="s">
        <v>251</v>
      </c>
      <c r="S440" s="3" t="s">
        <v>221</v>
      </c>
      <c r="T440" s="3" t="s">
        <v>97</v>
      </c>
      <c r="U440" s="3" t="s">
        <v>337</v>
      </c>
      <c r="V440" s="3" t="s">
        <v>333</v>
      </c>
      <c r="W440" s="3" t="s">
        <v>360</v>
      </c>
      <c r="X440" s="3" t="s">
        <v>102</v>
      </c>
      <c r="Y440" s="3">
        <v>50</v>
      </c>
      <c r="Z440" s="3">
        <v>0</v>
      </c>
      <c r="AA440" s="3">
        <v>365</v>
      </c>
      <c r="AB440" s="11" t="s">
        <v>397</v>
      </c>
    </row>
    <row r="441" spans="1:28">
      <c r="A441" s="3" t="s">
        <v>253</v>
      </c>
      <c r="B441" s="3" t="s">
        <v>274</v>
      </c>
      <c r="C441" s="3">
        <v>2</v>
      </c>
      <c r="D441" s="3" t="s">
        <v>252</v>
      </c>
      <c r="E441" s="3">
        <v>1.1000000000000001</v>
      </c>
      <c r="F441" s="3">
        <v>2004</v>
      </c>
      <c r="G441" s="3">
        <v>0.27783999999999998</v>
      </c>
      <c r="H441" s="3">
        <v>50</v>
      </c>
      <c r="I441" s="4">
        <f t="shared" si="61"/>
        <v>0.5307543499586227</v>
      </c>
      <c r="J441" s="4">
        <v>7.5060000000000016E-2</v>
      </c>
      <c r="K441" s="4">
        <v>0.21668000000000001</v>
      </c>
      <c r="L441" s="3">
        <v>50</v>
      </c>
      <c r="M441" s="4">
        <f t="shared" si="62"/>
        <v>0.1924744658389782</v>
      </c>
      <c r="N441" s="4">
        <v>2.7219999999999994E-2</v>
      </c>
      <c r="O441" s="4">
        <f t="shared" si="56"/>
        <v>-0.24862379764612033</v>
      </c>
      <c r="P441" s="4">
        <f t="shared" si="57"/>
        <v>8.8765133990787462E-2</v>
      </c>
      <c r="Q441" s="3" t="s">
        <v>291</v>
      </c>
      <c r="R441" s="3" t="s">
        <v>251</v>
      </c>
      <c r="S441" s="3" t="s">
        <v>221</v>
      </c>
      <c r="T441" s="3" t="s">
        <v>97</v>
      </c>
      <c r="U441" s="3" t="s">
        <v>337</v>
      </c>
      <c r="V441" s="3" t="s">
        <v>333</v>
      </c>
      <c r="W441" s="3" t="s">
        <v>360</v>
      </c>
      <c r="X441" s="3" t="s">
        <v>102</v>
      </c>
      <c r="Y441" s="3">
        <v>50</v>
      </c>
      <c r="Z441" s="3">
        <v>0</v>
      </c>
      <c r="AA441" s="3">
        <v>365</v>
      </c>
      <c r="AB441" s="11" t="s">
        <v>397</v>
      </c>
    </row>
    <row r="442" spans="1:28">
      <c r="A442" s="3" t="s">
        <v>253</v>
      </c>
      <c r="B442" s="3" t="s">
        <v>274</v>
      </c>
      <c r="C442" s="3">
        <v>3</v>
      </c>
      <c r="D442" s="3" t="s">
        <v>252</v>
      </c>
      <c r="E442" s="3">
        <v>1.1000000000000001</v>
      </c>
      <c r="F442" s="3">
        <v>2004</v>
      </c>
      <c r="G442" s="3">
        <v>0.75932999999999995</v>
      </c>
      <c r="H442" s="3">
        <v>50</v>
      </c>
      <c r="I442" s="4">
        <f t="shared" si="61"/>
        <v>0.70371266863685245</v>
      </c>
      <c r="J442" s="4">
        <v>9.9520000000000053E-2</v>
      </c>
      <c r="K442" s="4">
        <v>1.1072200000000001</v>
      </c>
      <c r="L442" s="3">
        <v>50</v>
      </c>
      <c r="M442" s="4">
        <f t="shared" si="62"/>
        <v>1.0351336169789855</v>
      </c>
      <c r="N442" s="4">
        <v>0.1463899999999998</v>
      </c>
      <c r="O442" s="4">
        <f t="shared" si="56"/>
        <v>0.37717118277032102</v>
      </c>
      <c r="P442" s="4">
        <f t="shared" si="57"/>
        <v>3.465803192664596E-2</v>
      </c>
      <c r="Q442" s="3" t="s">
        <v>291</v>
      </c>
      <c r="R442" s="3" t="s">
        <v>251</v>
      </c>
      <c r="S442" s="3" t="s">
        <v>221</v>
      </c>
      <c r="T442" s="3" t="s">
        <v>97</v>
      </c>
      <c r="U442" s="3" t="s">
        <v>337</v>
      </c>
      <c r="V442" s="3" t="s">
        <v>333</v>
      </c>
      <c r="W442" s="3" t="s">
        <v>360</v>
      </c>
      <c r="X442" s="3" t="s">
        <v>102</v>
      </c>
      <c r="Y442" s="3">
        <v>50</v>
      </c>
      <c r="Z442" s="3">
        <v>0</v>
      </c>
      <c r="AA442" s="3">
        <v>365</v>
      </c>
      <c r="AB442" s="11" t="s">
        <v>397</v>
      </c>
    </row>
    <row r="443" spans="1:28">
      <c r="A443" s="3" t="s">
        <v>253</v>
      </c>
      <c r="B443" s="3" t="s">
        <v>274</v>
      </c>
      <c r="C443" s="3">
        <v>4</v>
      </c>
      <c r="D443" s="3" t="s">
        <v>252</v>
      </c>
      <c r="E443" s="3">
        <v>1.1000000000000001</v>
      </c>
      <c r="F443" s="3">
        <v>2004</v>
      </c>
      <c r="G443" s="3">
        <v>0.99143999999999999</v>
      </c>
      <c r="H443" s="3">
        <v>50</v>
      </c>
      <c r="I443" s="4">
        <f t="shared" si="61"/>
        <v>0.574170706323477</v>
      </c>
      <c r="J443" s="4">
        <v>8.120000000000005E-2</v>
      </c>
      <c r="K443" s="4">
        <v>1.12992</v>
      </c>
      <c r="L443" s="3">
        <v>50</v>
      </c>
      <c r="M443" s="4">
        <f t="shared" si="62"/>
        <v>0.70915739085198848</v>
      </c>
      <c r="N443" s="4">
        <v>0.10028999999999999</v>
      </c>
      <c r="O443" s="4">
        <f t="shared" si="56"/>
        <v>0.13074368098340286</v>
      </c>
      <c r="P443" s="4">
        <f t="shared" si="57"/>
        <v>1.4585856432649449E-2</v>
      </c>
      <c r="Q443" s="3" t="s">
        <v>291</v>
      </c>
      <c r="R443" s="3" t="s">
        <v>251</v>
      </c>
      <c r="S443" s="3" t="s">
        <v>221</v>
      </c>
      <c r="T443" s="3" t="s">
        <v>97</v>
      </c>
      <c r="U443" s="3" t="s">
        <v>337</v>
      </c>
      <c r="V443" s="3" t="s">
        <v>333</v>
      </c>
      <c r="W443" s="3" t="s">
        <v>360</v>
      </c>
      <c r="X443" s="3" t="s">
        <v>102</v>
      </c>
      <c r="Y443" s="3">
        <v>50</v>
      </c>
      <c r="Z443" s="3">
        <v>0</v>
      </c>
      <c r="AA443" s="3">
        <v>365</v>
      </c>
      <c r="AB443" s="11" t="s">
        <v>397</v>
      </c>
    </row>
    <row r="444" spans="1:28">
      <c r="A444" s="3" t="s">
        <v>253</v>
      </c>
      <c r="B444" s="3" t="s">
        <v>274</v>
      </c>
      <c r="C444" s="3">
        <v>5</v>
      </c>
      <c r="D444" s="3" t="s">
        <v>252</v>
      </c>
      <c r="E444" s="3">
        <v>1.1000000000000001</v>
      </c>
      <c r="F444" s="3">
        <v>2004</v>
      </c>
      <c r="G444" s="3">
        <v>9.2439999999999994E-2</v>
      </c>
      <c r="H444" s="3">
        <v>50</v>
      </c>
      <c r="I444" s="4">
        <f t="shared" si="61"/>
        <v>0.17578674580297576</v>
      </c>
      <c r="J444" s="4">
        <v>2.4860000000000007E-2</v>
      </c>
      <c r="K444" s="4">
        <v>0.24912999999999999</v>
      </c>
      <c r="L444" s="3">
        <v>50</v>
      </c>
      <c r="M444" s="4">
        <f t="shared" si="62"/>
        <v>0.93967420151880332</v>
      </c>
      <c r="N444" s="4">
        <v>0.13289000000000004</v>
      </c>
      <c r="O444" s="4">
        <f t="shared" si="56"/>
        <v>0.99141506317123462</v>
      </c>
      <c r="P444" s="4">
        <f t="shared" si="57"/>
        <v>0.35685692662274843</v>
      </c>
      <c r="Q444" s="3" t="s">
        <v>291</v>
      </c>
      <c r="R444" s="3" t="s">
        <v>251</v>
      </c>
      <c r="S444" s="3" t="s">
        <v>221</v>
      </c>
      <c r="T444" s="3" t="s">
        <v>97</v>
      </c>
      <c r="U444" s="3" t="s">
        <v>337</v>
      </c>
      <c r="V444" s="3" t="s">
        <v>333</v>
      </c>
      <c r="W444" s="3" t="s">
        <v>360</v>
      </c>
      <c r="X444" s="3" t="s">
        <v>102</v>
      </c>
      <c r="Y444" s="3">
        <v>50</v>
      </c>
      <c r="Z444" s="3">
        <v>0</v>
      </c>
      <c r="AA444" s="3">
        <v>365</v>
      </c>
      <c r="AB444" s="11" t="s">
        <v>397</v>
      </c>
    </row>
    <row r="445" spans="1:28">
      <c r="A445" s="3" t="s">
        <v>253</v>
      </c>
      <c r="B445" s="3" t="s">
        <v>274</v>
      </c>
      <c r="C445" s="3">
        <v>6</v>
      </c>
      <c r="D445" s="3" t="s">
        <v>252</v>
      </c>
      <c r="E445" s="3">
        <v>1.1000000000000001</v>
      </c>
      <c r="F445" s="3">
        <v>2004</v>
      </c>
      <c r="G445" s="3">
        <v>9.5570000000000002E-2</v>
      </c>
      <c r="H445" s="3">
        <v>50</v>
      </c>
      <c r="I445" s="4">
        <f t="shared" si="61"/>
        <v>0.15068445507085326</v>
      </c>
      <c r="J445" s="4">
        <v>2.1309999999999996E-2</v>
      </c>
      <c r="K445" s="4">
        <v>0.10879</v>
      </c>
      <c r="L445" s="3">
        <v>50</v>
      </c>
      <c r="M445" s="4">
        <f t="shared" si="62"/>
        <v>0.14729034252115797</v>
      </c>
      <c r="N445" s="4">
        <v>2.0830000000000015E-2</v>
      </c>
      <c r="O445" s="4">
        <f t="shared" si="56"/>
        <v>0.12956045515490286</v>
      </c>
      <c r="P445" s="4">
        <f t="shared" si="57"/>
        <v>8.6379839597781935E-2</v>
      </c>
      <c r="Q445" s="3" t="s">
        <v>291</v>
      </c>
      <c r="R445" s="3" t="s">
        <v>251</v>
      </c>
      <c r="S445" s="3" t="s">
        <v>221</v>
      </c>
      <c r="T445" s="3" t="s">
        <v>97</v>
      </c>
      <c r="U445" s="3" t="s">
        <v>337</v>
      </c>
      <c r="V445" s="3" t="s">
        <v>333</v>
      </c>
      <c r="W445" s="3" t="s">
        <v>360</v>
      </c>
      <c r="X445" s="3" t="s">
        <v>102</v>
      </c>
      <c r="Y445" s="3">
        <v>50</v>
      </c>
      <c r="Z445" s="3">
        <v>0</v>
      </c>
      <c r="AA445" s="3">
        <v>365</v>
      </c>
      <c r="AB445" s="11" t="s">
        <v>397</v>
      </c>
    </row>
    <row r="446" spans="1:28">
      <c r="A446" s="3" t="s">
        <v>253</v>
      </c>
      <c r="B446" s="3" t="s">
        <v>274</v>
      </c>
      <c r="C446" s="3">
        <v>7</v>
      </c>
      <c r="D446" s="3" t="s">
        <v>252</v>
      </c>
      <c r="E446" s="3">
        <v>1.1000000000000001</v>
      </c>
      <c r="F446" s="3">
        <v>2004</v>
      </c>
      <c r="G446" s="3">
        <v>0.19744999999999999</v>
      </c>
      <c r="H446" s="3">
        <v>50</v>
      </c>
      <c r="I446" s="4">
        <f t="shared" si="61"/>
        <v>0.2481237695183596</v>
      </c>
      <c r="J446" s="4">
        <v>3.509000000000001E-2</v>
      </c>
      <c r="K446" s="4">
        <v>0.55522000000000005</v>
      </c>
      <c r="L446" s="3">
        <v>50</v>
      </c>
      <c r="M446" s="4">
        <f t="shared" si="62"/>
        <v>0.74953318805774027</v>
      </c>
      <c r="N446" s="4">
        <v>0.10599999999999998</v>
      </c>
      <c r="O446" s="4">
        <f t="shared" si="56"/>
        <v>1.0338790438658769</v>
      </c>
      <c r="P446" s="4">
        <f t="shared" si="57"/>
        <v>6.8031589773535212E-2</v>
      </c>
      <c r="Q446" s="3" t="s">
        <v>291</v>
      </c>
      <c r="R446" s="3" t="s">
        <v>251</v>
      </c>
      <c r="S446" s="3" t="s">
        <v>221</v>
      </c>
      <c r="T446" s="3" t="s">
        <v>97</v>
      </c>
      <c r="U446" s="3" t="s">
        <v>337</v>
      </c>
      <c r="V446" s="3" t="s">
        <v>333</v>
      </c>
      <c r="W446" s="3" t="s">
        <v>360</v>
      </c>
      <c r="X446" s="3" t="s">
        <v>102</v>
      </c>
      <c r="Y446" s="3">
        <v>50</v>
      </c>
      <c r="Z446" s="3">
        <v>0</v>
      </c>
      <c r="AA446" s="3">
        <v>365</v>
      </c>
      <c r="AB446" s="11" t="s">
        <v>397</v>
      </c>
    </row>
    <row r="447" spans="1:28">
      <c r="A447" s="3" t="s">
        <v>253</v>
      </c>
      <c r="B447" s="3" t="s">
        <v>274</v>
      </c>
      <c r="C447" s="3">
        <v>8</v>
      </c>
      <c r="D447" s="3" t="s">
        <v>252</v>
      </c>
      <c r="E447" s="3">
        <v>1.1000000000000001</v>
      </c>
      <c r="F447" s="3">
        <v>2004</v>
      </c>
      <c r="G447" s="3">
        <v>0.36282999999999999</v>
      </c>
      <c r="H447" s="3">
        <v>50</v>
      </c>
      <c r="I447" s="4">
        <f t="shared" si="61"/>
        <v>0.71799622561682053</v>
      </c>
      <c r="J447" s="4">
        <v>0.10154000000000002</v>
      </c>
      <c r="K447" s="4">
        <v>0.76717999999999997</v>
      </c>
      <c r="L447" s="3">
        <v>50</v>
      </c>
      <c r="M447" s="4">
        <f t="shared" si="62"/>
        <v>0.8705898689968774</v>
      </c>
      <c r="N447" s="4">
        <v>0.12312000000000001</v>
      </c>
      <c r="O447" s="4">
        <f t="shared" si="56"/>
        <v>0.74878704939797402</v>
      </c>
      <c r="P447" s="4">
        <f t="shared" si="57"/>
        <v>0.10407421160897284</v>
      </c>
      <c r="Q447" s="3" t="s">
        <v>291</v>
      </c>
      <c r="R447" s="3" t="s">
        <v>251</v>
      </c>
      <c r="S447" s="3" t="s">
        <v>221</v>
      </c>
      <c r="T447" s="3" t="s">
        <v>97</v>
      </c>
      <c r="U447" s="3" t="s">
        <v>337</v>
      </c>
      <c r="V447" s="3" t="s">
        <v>333</v>
      </c>
      <c r="W447" s="3" t="s">
        <v>360</v>
      </c>
      <c r="X447" s="3" t="s">
        <v>102</v>
      </c>
      <c r="Y447" s="3">
        <v>50</v>
      </c>
      <c r="Z447" s="3">
        <v>0</v>
      </c>
      <c r="AA447" s="3">
        <v>365</v>
      </c>
      <c r="AB447" s="11" t="s">
        <v>397</v>
      </c>
    </row>
    <row r="448" spans="1:28">
      <c r="A448" s="3" t="s">
        <v>254</v>
      </c>
      <c r="B448" s="3" t="s">
        <v>256</v>
      </c>
      <c r="C448" s="3">
        <v>9</v>
      </c>
      <c r="D448" s="3" t="s">
        <v>257</v>
      </c>
      <c r="E448" s="5">
        <v>2.5</v>
      </c>
      <c r="F448" s="3">
        <v>2019</v>
      </c>
      <c r="G448" s="4">
        <v>0.30105999999999999</v>
      </c>
      <c r="H448" s="3">
        <v>7</v>
      </c>
      <c r="I448" s="4">
        <f t="shared" si="61"/>
        <v>9.2098603138158416E-2</v>
      </c>
      <c r="J448" s="4">
        <v>3.4810000000000008E-2</v>
      </c>
      <c r="K448" s="4">
        <v>0.34816000000000003</v>
      </c>
      <c r="L448" s="3">
        <v>7</v>
      </c>
      <c r="M448" s="4">
        <f t="shared" si="62"/>
        <v>0.20964933388875812</v>
      </c>
      <c r="N448" s="4">
        <v>7.9239999999999977E-2</v>
      </c>
      <c r="O448" s="4">
        <f t="shared" ref="O448:O479" si="63">LN(K448/G448)</f>
        <v>0.14535256379516531</v>
      </c>
      <c r="P448" s="4">
        <f t="shared" si="57"/>
        <v>6.5169262776843498E-2</v>
      </c>
      <c r="Q448" s="3" t="s">
        <v>316</v>
      </c>
      <c r="R448" s="3" t="s">
        <v>180</v>
      </c>
      <c r="S448" s="3" t="s">
        <v>222</v>
      </c>
      <c r="T448" s="3" t="s">
        <v>97</v>
      </c>
      <c r="U448" s="3" t="s">
        <v>337</v>
      </c>
      <c r="V448" s="3" t="s">
        <v>165</v>
      </c>
      <c r="W448" s="3" t="s">
        <v>112</v>
      </c>
      <c r="X448" s="3" t="s">
        <v>98</v>
      </c>
      <c r="Y448" s="3" t="s">
        <v>363</v>
      </c>
      <c r="Z448" s="3" t="s">
        <v>363</v>
      </c>
      <c r="AA448" s="3">
        <v>0</v>
      </c>
      <c r="AB448" s="11" t="s">
        <v>397</v>
      </c>
    </row>
    <row r="449" spans="1:28">
      <c r="A449" s="3" t="s">
        <v>254</v>
      </c>
      <c r="B449" s="3" t="s">
        <v>255</v>
      </c>
      <c r="C449" s="3">
        <v>10</v>
      </c>
      <c r="D449" s="3" t="s">
        <v>257</v>
      </c>
      <c r="E449" s="5">
        <v>2.5</v>
      </c>
      <c r="F449" s="3">
        <v>2019</v>
      </c>
      <c r="G449" s="4">
        <v>0.30105999999999999</v>
      </c>
      <c r="H449" s="3">
        <v>7</v>
      </c>
      <c r="I449" s="4">
        <f t="shared" si="61"/>
        <v>9.2098603138158416E-2</v>
      </c>
      <c r="J449" s="4">
        <v>3.4810000000000008E-2</v>
      </c>
      <c r="K449" s="4">
        <v>0.28348000000000001</v>
      </c>
      <c r="L449" s="3">
        <v>7</v>
      </c>
      <c r="M449" s="4">
        <f t="shared" si="62"/>
        <v>5.3258973891730163E-2</v>
      </c>
      <c r="N449" s="4">
        <v>2.0129999999999981E-2</v>
      </c>
      <c r="O449" s="4">
        <f t="shared" si="63"/>
        <v>-6.0168006490302607E-2</v>
      </c>
      <c r="P449" s="4">
        <f t="shared" si="57"/>
        <v>1.8411555401830527E-2</v>
      </c>
      <c r="Q449" s="3" t="s">
        <v>316</v>
      </c>
      <c r="R449" s="3" t="s">
        <v>180</v>
      </c>
      <c r="S449" s="3" t="s">
        <v>222</v>
      </c>
      <c r="T449" s="3" t="s">
        <v>97</v>
      </c>
      <c r="U449" s="3" t="s">
        <v>337</v>
      </c>
      <c r="V449" s="3" t="s">
        <v>165</v>
      </c>
      <c r="W449" s="3" t="s">
        <v>112</v>
      </c>
      <c r="X449" s="3" t="s">
        <v>99</v>
      </c>
      <c r="Y449" s="3" t="s">
        <v>363</v>
      </c>
      <c r="Z449" s="3" t="s">
        <v>363</v>
      </c>
      <c r="AA449" s="3">
        <v>0</v>
      </c>
      <c r="AB449" s="11" t="s">
        <v>397</v>
      </c>
    </row>
    <row r="450" spans="1:28">
      <c r="A450" s="3" t="s">
        <v>254</v>
      </c>
      <c r="B450" s="3" t="s">
        <v>255</v>
      </c>
      <c r="C450" s="3">
        <v>11</v>
      </c>
      <c r="D450" s="3" t="s">
        <v>257</v>
      </c>
      <c r="E450" s="5">
        <v>2.5</v>
      </c>
      <c r="F450" s="3">
        <v>2019</v>
      </c>
      <c r="G450" s="4">
        <v>0.30105999999999999</v>
      </c>
      <c r="H450" s="3">
        <v>7</v>
      </c>
      <c r="I450" s="4">
        <f t="shared" si="61"/>
        <v>9.2098603138158416E-2</v>
      </c>
      <c r="J450" s="4">
        <v>3.4810000000000008E-2</v>
      </c>
      <c r="K450" s="4">
        <v>0.22373999999999999</v>
      </c>
      <c r="L450" s="3">
        <v>7</v>
      </c>
      <c r="M450" s="4">
        <f t="shared" si="62"/>
        <v>6.7784148589474819E-2</v>
      </c>
      <c r="N450" s="4">
        <v>2.5620000000000004E-2</v>
      </c>
      <c r="O450" s="4">
        <f t="shared" si="63"/>
        <v>-0.29682491701357339</v>
      </c>
      <c r="P450" s="4">
        <f t="shared" ref="P450:P479" si="64">(M450^2)/(L450*(K450^2)) + (I450^2)/(H450*(G450^2))</f>
        <v>2.648115429186168E-2</v>
      </c>
      <c r="Q450" s="3" t="s">
        <v>316</v>
      </c>
      <c r="R450" s="3" t="s">
        <v>180</v>
      </c>
      <c r="S450" s="3" t="s">
        <v>222</v>
      </c>
      <c r="T450" s="3" t="s">
        <v>97</v>
      </c>
      <c r="U450" s="3" t="s">
        <v>337</v>
      </c>
      <c r="V450" s="3" t="s">
        <v>165</v>
      </c>
      <c r="W450" s="3" t="s">
        <v>329</v>
      </c>
      <c r="X450" s="3" t="s">
        <v>100</v>
      </c>
      <c r="Y450" s="3" t="s">
        <v>363</v>
      </c>
      <c r="Z450" s="3">
        <v>35</v>
      </c>
      <c r="AA450" s="3">
        <v>0</v>
      </c>
      <c r="AB450" s="11" t="s">
        <v>397</v>
      </c>
    </row>
    <row r="451" spans="1:28">
      <c r="A451" s="3" t="s">
        <v>254</v>
      </c>
      <c r="B451" s="3" t="s">
        <v>255</v>
      </c>
      <c r="C451" s="3">
        <v>12</v>
      </c>
      <c r="D451" s="3" t="s">
        <v>257</v>
      </c>
      <c r="E451" s="5">
        <v>2.5</v>
      </c>
      <c r="F451" s="3">
        <v>2019</v>
      </c>
      <c r="G451" s="4">
        <v>0.30105999999999999</v>
      </c>
      <c r="H451" s="3">
        <v>7</v>
      </c>
      <c r="I451" s="4">
        <f t="shared" si="61"/>
        <v>9.2098603138158416E-2</v>
      </c>
      <c r="J451" s="4">
        <v>3.4810000000000008E-2</v>
      </c>
      <c r="K451" s="4">
        <v>0.34597</v>
      </c>
      <c r="L451" s="3">
        <v>7</v>
      </c>
      <c r="M451" s="4">
        <f t="shared" si="62"/>
        <v>7.8129036215737371E-2</v>
      </c>
      <c r="N451" s="4">
        <v>2.9530000000000001E-2</v>
      </c>
      <c r="O451" s="4">
        <f t="shared" si="63"/>
        <v>0.13904248566394092</v>
      </c>
      <c r="P451" s="4">
        <f t="shared" si="64"/>
        <v>2.0654435739360981E-2</v>
      </c>
      <c r="Q451" s="3" t="s">
        <v>316</v>
      </c>
      <c r="R451" s="3" t="s">
        <v>180</v>
      </c>
      <c r="S451" s="3" t="s">
        <v>222</v>
      </c>
      <c r="T451" s="3" t="s">
        <v>97</v>
      </c>
      <c r="U451" s="3" t="s">
        <v>337</v>
      </c>
      <c r="V451" s="3" t="s">
        <v>165</v>
      </c>
      <c r="W451" s="3" t="s">
        <v>360</v>
      </c>
      <c r="X451" s="3" t="s">
        <v>147</v>
      </c>
      <c r="Y451" s="3">
        <v>50</v>
      </c>
      <c r="Z451" s="3">
        <v>35</v>
      </c>
      <c r="AA451" s="3">
        <v>0</v>
      </c>
      <c r="AB451" s="11" t="s">
        <v>397</v>
      </c>
    </row>
    <row r="452" spans="1:28">
      <c r="A452" s="3" t="s">
        <v>254</v>
      </c>
      <c r="B452" s="3" t="s">
        <v>255</v>
      </c>
      <c r="C452" s="3">
        <v>13</v>
      </c>
      <c r="D452" s="3" t="s">
        <v>257</v>
      </c>
      <c r="E452" s="5">
        <v>2.5</v>
      </c>
      <c r="F452" s="3">
        <v>2019</v>
      </c>
      <c r="G452" s="4">
        <v>0.30105999999999999</v>
      </c>
      <c r="H452" s="3">
        <v>7</v>
      </c>
      <c r="I452" s="4">
        <f t="shared" si="61"/>
        <v>9.2098603138158416E-2</v>
      </c>
      <c r="J452" s="4">
        <v>3.4810000000000008E-2</v>
      </c>
      <c r="K452" s="4">
        <v>0.32707000000000003</v>
      </c>
      <c r="L452" s="3">
        <v>7</v>
      </c>
      <c r="M452" s="4">
        <f t="shared" si="62"/>
        <v>6.6170240289725346E-2</v>
      </c>
      <c r="N452" s="4">
        <v>2.5009999999999977E-2</v>
      </c>
      <c r="O452" s="4">
        <f t="shared" si="63"/>
        <v>8.2864634834052583E-2</v>
      </c>
      <c r="P452" s="4">
        <f t="shared" si="64"/>
        <v>1.9216265861119311E-2</v>
      </c>
      <c r="Q452" s="3" t="s">
        <v>316</v>
      </c>
      <c r="R452" s="3" t="s">
        <v>180</v>
      </c>
      <c r="S452" s="3" t="s">
        <v>222</v>
      </c>
      <c r="T452" s="3" t="s">
        <v>97</v>
      </c>
      <c r="U452" s="3" t="s">
        <v>337</v>
      </c>
      <c r="V452" s="3" t="s">
        <v>165</v>
      </c>
      <c r="W452" s="3" t="s">
        <v>339</v>
      </c>
      <c r="X452" s="3" t="s">
        <v>196</v>
      </c>
      <c r="Y452" s="3">
        <v>50</v>
      </c>
      <c r="Z452" s="3">
        <v>35</v>
      </c>
      <c r="AA452" s="3">
        <v>0</v>
      </c>
      <c r="AB452" s="11" t="s">
        <v>397</v>
      </c>
    </row>
    <row r="453" spans="1:28">
      <c r="A453" s="3" t="s">
        <v>254</v>
      </c>
      <c r="B453" s="3" t="s">
        <v>255</v>
      </c>
      <c r="C453" s="3">
        <v>14</v>
      </c>
      <c r="D453" s="3" t="s">
        <v>257</v>
      </c>
      <c r="E453" s="5">
        <v>2.5</v>
      </c>
      <c r="F453" s="3">
        <v>2019</v>
      </c>
      <c r="G453" s="4">
        <v>0.35141</v>
      </c>
      <c r="H453" s="3">
        <v>7</v>
      </c>
      <c r="I453" s="4">
        <f t="shared" si="61"/>
        <v>0.12948306916350102</v>
      </c>
      <c r="J453" s="4">
        <v>4.8939999999999984E-2</v>
      </c>
      <c r="K453" s="4">
        <v>0.25239</v>
      </c>
      <c r="L453" s="3">
        <v>7</v>
      </c>
      <c r="M453" s="4">
        <f t="shared" si="62"/>
        <v>0.15168092266333297</v>
      </c>
      <c r="N453" s="4">
        <v>5.7329999999999992E-2</v>
      </c>
      <c r="O453" s="4">
        <f t="shared" si="63"/>
        <v>-0.33097812271543386</v>
      </c>
      <c r="P453" s="4">
        <f t="shared" si="64"/>
        <v>7.0991865963958969E-2</v>
      </c>
      <c r="Q453" s="3" t="s">
        <v>316</v>
      </c>
      <c r="R453" s="3" t="s">
        <v>180</v>
      </c>
      <c r="S453" s="3" t="s">
        <v>222</v>
      </c>
      <c r="T453" s="3" t="s">
        <v>97</v>
      </c>
      <c r="U453" s="3" t="s">
        <v>337</v>
      </c>
      <c r="V453" s="3" t="s">
        <v>165</v>
      </c>
      <c r="W453" s="3" t="s">
        <v>112</v>
      </c>
      <c r="X453" s="3" t="s">
        <v>98</v>
      </c>
      <c r="Y453" s="3" t="s">
        <v>363</v>
      </c>
      <c r="Z453" s="3" t="s">
        <v>363</v>
      </c>
      <c r="AA453" s="3">
        <v>0</v>
      </c>
      <c r="AB453" s="11" t="s">
        <v>397</v>
      </c>
    </row>
    <row r="454" spans="1:28">
      <c r="A454" s="3" t="s">
        <v>254</v>
      </c>
      <c r="B454" s="3" t="s">
        <v>255</v>
      </c>
      <c r="C454" s="3">
        <v>15</v>
      </c>
      <c r="D454" s="3" t="s">
        <v>257</v>
      </c>
      <c r="E454" s="5">
        <v>2.5</v>
      </c>
      <c r="F454" s="3">
        <v>2019</v>
      </c>
      <c r="G454" s="4">
        <v>0.35141</v>
      </c>
      <c r="H454" s="3">
        <v>7</v>
      </c>
      <c r="I454" s="4">
        <f t="shared" si="61"/>
        <v>0.12948306916350102</v>
      </c>
      <c r="J454" s="4">
        <v>4.8939999999999984E-2</v>
      </c>
      <c r="K454" s="4">
        <v>0.26815</v>
      </c>
      <c r="L454" s="3">
        <v>7</v>
      </c>
      <c r="M454" s="4">
        <f t="shared" si="62"/>
        <v>0.11792113593414881</v>
      </c>
      <c r="N454" s="4">
        <v>4.4569999999999999E-2</v>
      </c>
      <c r="O454" s="4">
        <f t="shared" si="63"/>
        <v>-0.2704071075173316</v>
      </c>
      <c r="P454" s="4">
        <f t="shared" si="64"/>
        <v>4.7022184354273092E-2</v>
      </c>
      <c r="Q454" s="3" t="s">
        <v>316</v>
      </c>
      <c r="R454" s="3" t="s">
        <v>180</v>
      </c>
      <c r="S454" s="3" t="s">
        <v>222</v>
      </c>
      <c r="T454" s="3" t="s">
        <v>97</v>
      </c>
      <c r="U454" s="3" t="s">
        <v>337</v>
      </c>
      <c r="V454" s="3" t="s">
        <v>165</v>
      </c>
      <c r="W454" s="3" t="s">
        <v>112</v>
      </c>
      <c r="X454" s="3" t="s">
        <v>99</v>
      </c>
      <c r="Y454" s="3" t="s">
        <v>363</v>
      </c>
      <c r="Z454" s="3" t="s">
        <v>363</v>
      </c>
      <c r="AA454" s="3">
        <v>0</v>
      </c>
      <c r="AB454" s="11" t="s">
        <v>397</v>
      </c>
    </row>
    <row r="455" spans="1:28">
      <c r="A455" s="3" t="s">
        <v>254</v>
      </c>
      <c r="B455" s="3" t="s">
        <v>255</v>
      </c>
      <c r="C455" s="3">
        <v>16</v>
      </c>
      <c r="D455" s="3" t="s">
        <v>257</v>
      </c>
      <c r="E455" s="5">
        <v>2.5</v>
      </c>
      <c r="F455" s="3">
        <v>2019</v>
      </c>
      <c r="G455" s="4">
        <v>0.35141</v>
      </c>
      <c r="H455" s="3">
        <v>7</v>
      </c>
      <c r="I455" s="4">
        <f t="shared" si="61"/>
        <v>0.12948306916350102</v>
      </c>
      <c r="J455" s="4">
        <v>4.8939999999999984E-2</v>
      </c>
      <c r="K455" s="4">
        <v>0.45407999999999998</v>
      </c>
      <c r="L455" s="3">
        <v>7</v>
      </c>
      <c r="M455" s="4">
        <f t="shared" si="62"/>
        <v>8.8791413999327759E-2</v>
      </c>
      <c r="N455" s="4">
        <v>3.3560000000000034E-2</v>
      </c>
      <c r="O455" s="4">
        <f t="shared" si="63"/>
        <v>0.25631976102541199</v>
      </c>
      <c r="P455" s="4">
        <f t="shared" si="64"/>
        <v>2.4857788138164295E-2</v>
      </c>
      <c r="Q455" s="3" t="s">
        <v>316</v>
      </c>
      <c r="R455" s="3" t="s">
        <v>180</v>
      </c>
      <c r="S455" s="3" t="s">
        <v>222</v>
      </c>
      <c r="T455" s="3" t="s">
        <v>97</v>
      </c>
      <c r="U455" s="3" t="s">
        <v>337</v>
      </c>
      <c r="V455" s="3" t="s">
        <v>165</v>
      </c>
      <c r="W455" s="3" t="s">
        <v>330</v>
      </c>
      <c r="X455" s="3" t="s">
        <v>100</v>
      </c>
      <c r="Y455" s="3" t="s">
        <v>363</v>
      </c>
      <c r="Z455" s="3">
        <v>35</v>
      </c>
      <c r="AA455" s="3">
        <v>0</v>
      </c>
      <c r="AB455" s="11" t="s">
        <v>397</v>
      </c>
    </row>
    <row r="456" spans="1:28">
      <c r="A456" s="3" t="s">
        <v>254</v>
      </c>
      <c r="B456" s="3" t="s">
        <v>255</v>
      </c>
      <c r="C456" s="3">
        <v>17</v>
      </c>
      <c r="D456" s="3" t="s">
        <v>257</v>
      </c>
      <c r="E456" s="5">
        <v>2.5</v>
      </c>
      <c r="F456" s="3">
        <v>2019</v>
      </c>
      <c r="G456" s="4">
        <v>0.35141</v>
      </c>
      <c r="H456" s="3">
        <v>7</v>
      </c>
      <c r="I456" s="4">
        <f t="shared" si="61"/>
        <v>0.12948306916350102</v>
      </c>
      <c r="J456" s="4">
        <v>4.8939999999999984E-2</v>
      </c>
      <c r="K456" s="4">
        <v>0.32758999999999999</v>
      </c>
      <c r="L456" s="3">
        <v>7</v>
      </c>
      <c r="M456" s="4">
        <f t="shared" si="62"/>
        <v>6.4609247016197302E-2</v>
      </c>
      <c r="N456" s="4">
        <v>2.4419999999999997E-2</v>
      </c>
      <c r="O456" s="4">
        <f t="shared" si="63"/>
        <v>-7.0190806463774721E-2</v>
      </c>
      <c r="P456" s="4">
        <f t="shared" si="64"/>
        <v>2.495231033169145E-2</v>
      </c>
      <c r="Q456" s="3" t="s">
        <v>316</v>
      </c>
      <c r="R456" s="3" t="s">
        <v>180</v>
      </c>
      <c r="S456" s="3" t="s">
        <v>222</v>
      </c>
      <c r="T456" s="3" t="s">
        <v>97</v>
      </c>
      <c r="U456" s="3" t="s">
        <v>337</v>
      </c>
      <c r="V456" s="3" t="s">
        <v>165</v>
      </c>
      <c r="W456" s="3" t="s">
        <v>360</v>
      </c>
      <c r="X456" s="3" t="s">
        <v>147</v>
      </c>
      <c r="Y456" s="3">
        <v>50</v>
      </c>
      <c r="Z456" s="3">
        <v>35</v>
      </c>
      <c r="AA456" s="3">
        <v>0</v>
      </c>
      <c r="AB456" s="11" t="s">
        <v>397</v>
      </c>
    </row>
    <row r="457" spans="1:28">
      <c r="A457" s="3" t="s">
        <v>254</v>
      </c>
      <c r="B457" s="3" t="s">
        <v>255</v>
      </c>
      <c r="C457" s="3">
        <v>18</v>
      </c>
      <c r="D457" s="3" t="s">
        <v>257</v>
      </c>
      <c r="E457" s="5">
        <v>2.5</v>
      </c>
      <c r="F457" s="3">
        <v>2019</v>
      </c>
      <c r="G457" s="4">
        <v>0.35141</v>
      </c>
      <c r="H457" s="3">
        <v>7</v>
      </c>
      <c r="I457" s="4">
        <f t="shared" si="61"/>
        <v>0.12948306916350102</v>
      </c>
      <c r="J457" s="4">
        <v>4.8939999999999984E-2</v>
      </c>
      <c r="K457" s="4">
        <v>0.33637</v>
      </c>
      <c r="L457" s="3">
        <v>7</v>
      </c>
      <c r="M457" s="4">
        <f t="shared" si="62"/>
        <v>0.11739198567193594</v>
      </c>
      <c r="N457" s="4">
        <v>4.4370000000000021E-2</v>
      </c>
      <c r="O457" s="4">
        <f t="shared" si="63"/>
        <v>-4.3741888372362057E-2</v>
      </c>
      <c r="P457" s="4">
        <f t="shared" si="64"/>
        <v>3.6795246390100504E-2</v>
      </c>
      <c r="Q457" s="3" t="s">
        <v>316</v>
      </c>
      <c r="R457" s="3" t="s">
        <v>180</v>
      </c>
      <c r="S457" s="3" t="s">
        <v>222</v>
      </c>
      <c r="T457" s="3" t="s">
        <v>97</v>
      </c>
      <c r="U457" s="3" t="s">
        <v>337</v>
      </c>
      <c r="V457" s="3" t="s">
        <v>165</v>
      </c>
      <c r="W457" s="3" t="s">
        <v>339</v>
      </c>
      <c r="X457" s="3" t="s">
        <v>196</v>
      </c>
      <c r="Y457" s="3">
        <v>50</v>
      </c>
      <c r="Z457" s="3">
        <v>35</v>
      </c>
      <c r="AA457" s="3">
        <v>0</v>
      </c>
      <c r="AB457" s="11" t="s">
        <v>397</v>
      </c>
    </row>
    <row r="458" spans="1:28">
      <c r="A458" s="3" t="s">
        <v>382</v>
      </c>
      <c r="B458" s="3" t="s">
        <v>259</v>
      </c>
      <c r="C458" s="3">
        <v>1</v>
      </c>
      <c r="D458" s="3" t="s">
        <v>40</v>
      </c>
      <c r="E458" s="3">
        <v>2.8</v>
      </c>
      <c r="F458" s="3">
        <v>1985</v>
      </c>
      <c r="G458" s="4">
        <v>4.4034800000000001</v>
      </c>
      <c r="H458" s="3">
        <v>10</v>
      </c>
      <c r="I458" s="4">
        <f t="shared" si="61"/>
        <v>1.2533687506077371</v>
      </c>
      <c r="J458" s="4">
        <v>0.39634999999999998</v>
      </c>
      <c r="K458" s="4">
        <v>5.9916600000000004</v>
      </c>
      <c r="L458" s="3">
        <v>10</v>
      </c>
      <c r="M458" s="4">
        <f t="shared" si="62"/>
        <v>1.3537078207648785</v>
      </c>
      <c r="N458" s="4">
        <v>0.42807999999999957</v>
      </c>
      <c r="O458" s="4">
        <f t="shared" si="63"/>
        <v>0.30797336487056831</v>
      </c>
      <c r="P458" s="4">
        <f t="shared" si="64"/>
        <v>1.3206031903276141E-2</v>
      </c>
      <c r="Q458" s="3" t="s">
        <v>287</v>
      </c>
      <c r="R458" s="3" t="s">
        <v>258</v>
      </c>
      <c r="S458" s="3" t="s">
        <v>221</v>
      </c>
      <c r="T458" s="3" t="s">
        <v>8</v>
      </c>
      <c r="U458" s="3" t="s">
        <v>165</v>
      </c>
      <c r="V458" s="3" t="s">
        <v>332</v>
      </c>
      <c r="W458" s="3" t="s">
        <v>360</v>
      </c>
      <c r="X458" s="3" t="s">
        <v>147</v>
      </c>
      <c r="Y458" s="3">
        <v>25</v>
      </c>
      <c r="Z458" s="3">
        <v>0</v>
      </c>
      <c r="AA458" s="3">
        <v>14</v>
      </c>
      <c r="AB458" s="11" t="s">
        <v>397</v>
      </c>
    </row>
    <row r="459" spans="1:28">
      <c r="A459" s="3" t="s">
        <v>382</v>
      </c>
      <c r="B459" s="3" t="s">
        <v>259</v>
      </c>
      <c r="C459" s="3">
        <v>2</v>
      </c>
      <c r="D459" s="3" t="s">
        <v>40</v>
      </c>
      <c r="E459" s="3">
        <v>2.8</v>
      </c>
      <c r="F459" s="3">
        <v>1985</v>
      </c>
      <c r="G459" s="4">
        <v>4.4034800000000001</v>
      </c>
      <c r="H459" s="3">
        <v>10</v>
      </c>
      <c r="I459" s="4">
        <f t="shared" si="61"/>
        <v>1.2533687506077371</v>
      </c>
      <c r="J459" s="4">
        <v>0.39634999999999998</v>
      </c>
      <c r="K459" s="4">
        <v>6.5076999999999998</v>
      </c>
      <c r="L459" s="3">
        <v>10</v>
      </c>
      <c r="M459" s="4">
        <f t="shared" si="62"/>
        <v>1.9108062761567446</v>
      </c>
      <c r="N459" s="4">
        <v>0.6042500000000004</v>
      </c>
      <c r="O459" s="4">
        <f t="shared" si="63"/>
        <v>0.39059095377169301</v>
      </c>
      <c r="P459" s="4">
        <f t="shared" si="64"/>
        <v>1.6722913760757092E-2</v>
      </c>
      <c r="Q459" s="3" t="s">
        <v>287</v>
      </c>
      <c r="R459" s="3" t="s">
        <v>258</v>
      </c>
      <c r="S459" s="3" t="s">
        <v>221</v>
      </c>
      <c r="T459" s="3" t="s">
        <v>8</v>
      </c>
      <c r="U459" s="3" t="s">
        <v>165</v>
      </c>
      <c r="V459" s="3" t="s">
        <v>332</v>
      </c>
      <c r="W459" s="3" t="s">
        <v>360</v>
      </c>
      <c r="X459" s="3" t="s">
        <v>147</v>
      </c>
      <c r="Y459" s="3">
        <v>50</v>
      </c>
      <c r="Z459" s="3">
        <v>0</v>
      </c>
      <c r="AA459" s="3">
        <v>14</v>
      </c>
      <c r="AB459" s="11" t="s">
        <v>397</v>
      </c>
    </row>
    <row r="460" spans="1:28">
      <c r="A460" s="3" t="s">
        <v>382</v>
      </c>
      <c r="B460" s="3" t="s">
        <v>259</v>
      </c>
      <c r="C460" s="3">
        <v>3</v>
      </c>
      <c r="D460" s="3" t="s">
        <v>40</v>
      </c>
      <c r="E460" s="3">
        <v>2.8</v>
      </c>
      <c r="F460" s="3">
        <v>1985</v>
      </c>
      <c r="G460" s="4">
        <v>4.4034800000000001</v>
      </c>
      <c r="H460" s="3">
        <v>10</v>
      </c>
      <c r="I460" s="4">
        <f t="shared" si="61"/>
        <v>1.2533687506077371</v>
      </c>
      <c r="J460" s="4">
        <v>0.39634999999999998</v>
      </c>
      <c r="K460" s="4">
        <v>6.6094099999999996</v>
      </c>
      <c r="L460" s="3">
        <v>10</v>
      </c>
      <c r="M460" s="4">
        <f t="shared" si="62"/>
        <v>1.2007484503425361</v>
      </c>
      <c r="N460" s="4">
        <v>0.37971000000000021</v>
      </c>
      <c r="O460" s="4">
        <f t="shared" si="63"/>
        <v>0.406099253769513</v>
      </c>
      <c r="P460" s="4">
        <f t="shared" si="64"/>
        <v>1.1401996325844571E-2</v>
      </c>
      <c r="Q460" s="3" t="s">
        <v>287</v>
      </c>
      <c r="R460" s="3" t="s">
        <v>258</v>
      </c>
      <c r="S460" s="3" t="s">
        <v>221</v>
      </c>
      <c r="T460" s="3" t="s">
        <v>8</v>
      </c>
      <c r="U460" s="3" t="s">
        <v>165</v>
      </c>
      <c r="V460" s="3" t="s">
        <v>332</v>
      </c>
      <c r="W460" s="3" t="s">
        <v>360</v>
      </c>
      <c r="X460" s="3" t="s">
        <v>147</v>
      </c>
      <c r="Y460" s="3">
        <v>75</v>
      </c>
      <c r="Z460" s="3">
        <v>0</v>
      </c>
      <c r="AA460" s="3">
        <v>14</v>
      </c>
      <c r="AB460" s="11" t="s">
        <v>397</v>
      </c>
    </row>
    <row r="461" spans="1:28">
      <c r="A461" s="3" t="s">
        <v>382</v>
      </c>
      <c r="B461" s="3" t="s">
        <v>259</v>
      </c>
      <c r="C461" s="3">
        <v>4</v>
      </c>
      <c r="D461" s="3" t="s">
        <v>40</v>
      </c>
      <c r="E461" s="3">
        <v>2.8</v>
      </c>
      <c r="F461" s="3">
        <v>1985</v>
      </c>
      <c r="G461" s="4">
        <v>5.3795999999999999</v>
      </c>
      <c r="H461" s="3">
        <v>10</v>
      </c>
      <c r="I461" s="4">
        <f t="shared" si="61"/>
        <v>0.66006221600694615</v>
      </c>
      <c r="J461" s="4">
        <v>0.20873000000000008</v>
      </c>
      <c r="K461" s="4">
        <v>6.8425200000000004</v>
      </c>
      <c r="L461" s="3">
        <v>10</v>
      </c>
      <c r="M461" s="4">
        <f t="shared" si="62"/>
        <v>1.2817976267726503</v>
      </c>
      <c r="N461" s="4">
        <v>0.40533999999999981</v>
      </c>
      <c r="O461" s="4">
        <f t="shared" si="63"/>
        <v>0.24054206286946223</v>
      </c>
      <c r="P461" s="4">
        <f t="shared" si="64"/>
        <v>5.0146510552824862E-3</v>
      </c>
      <c r="Q461" s="3" t="s">
        <v>287</v>
      </c>
      <c r="R461" s="3" t="s">
        <v>258</v>
      </c>
      <c r="S461" s="3" t="s">
        <v>221</v>
      </c>
      <c r="T461" s="3" t="s">
        <v>8</v>
      </c>
      <c r="U461" s="3" t="s">
        <v>165</v>
      </c>
      <c r="V461" s="3" t="s">
        <v>332</v>
      </c>
      <c r="W461" s="3" t="s">
        <v>360</v>
      </c>
      <c r="X461" s="3" t="s">
        <v>147</v>
      </c>
      <c r="Y461" s="3">
        <v>25</v>
      </c>
      <c r="Z461" s="3">
        <v>0</v>
      </c>
      <c r="AA461" s="3">
        <v>56</v>
      </c>
      <c r="AB461" s="11" t="s">
        <v>397</v>
      </c>
    </row>
    <row r="462" spans="1:28">
      <c r="A462" s="3" t="s">
        <v>382</v>
      </c>
      <c r="B462" s="3" t="s">
        <v>259</v>
      </c>
      <c r="C462" s="3">
        <v>5</v>
      </c>
      <c r="D462" s="3" t="s">
        <v>40</v>
      </c>
      <c r="E462" s="3">
        <v>2.8</v>
      </c>
      <c r="F462" s="3">
        <v>1985</v>
      </c>
      <c r="G462" s="4">
        <v>5.3795999999999999</v>
      </c>
      <c r="H462" s="3">
        <v>10</v>
      </c>
      <c r="I462" s="4">
        <f t="shared" si="61"/>
        <v>0.66006221600694615</v>
      </c>
      <c r="J462" s="4">
        <v>0.20873000000000008</v>
      </c>
      <c r="K462" s="4">
        <v>7.07559</v>
      </c>
      <c r="L462" s="3">
        <v>10</v>
      </c>
      <c r="M462" s="4">
        <f t="shared" si="62"/>
        <v>2.9643507014184403</v>
      </c>
      <c r="N462" s="4">
        <v>0.93740999999999985</v>
      </c>
      <c r="O462" s="4">
        <f t="shared" si="63"/>
        <v>0.27403681031125426</v>
      </c>
      <c r="P462" s="4">
        <f t="shared" si="64"/>
        <v>1.905775433410695E-2</v>
      </c>
      <c r="Q462" s="3" t="s">
        <v>287</v>
      </c>
      <c r="R462" s="3" t="s">
        <v>258</v>
      </c>
      <c r="S462" s="3" t="s">
        <v>221</v>
      </c>
      <c r="T462" s="3" t="s">
        <v>8</v>
      </c>
      <c r="U462" s="3" t="s">
        <v>165</v>
      </c>
      <c r="V462" s="3" t="s">
        <v>332</v>
      </c>
      <c r="W462" s="3" t="s">
        <v>360</v>
      </c>
      <c r="X462" s="3" t="s">
        <v>147</v>
      </c>
      <c r="Y462" s="3">
        <v>50</v>
      </c>
      <c r="Z462" s="3">
        <v>0</v>
      </c>
      <c r="AA462" s="3">
        <v>56</v>
      </c>
      <c r="AB462" s="11" t="s">
        <v>397</v>
      </c>
    </row>
    <row r="463" spans="1:28">
      <c r="A463" s="3" t="s">
        <v>382</v>
      </c>
      <c r="B463" s="3" t="s">
        <v>259</v>
      </c>
      <c r="C463" s="3">
        <v>6</v>
      </c>
      <c r="D463" s="3" t="s">
        <v>40</v>
      </c>
      <c r="E463" s="3">
        <v>2.8</v>
      </c>
      <c r="F463" s="3">
        <v>1985</v>
      </c>
      <c r="G463" s="4">
        <v>5.3795999999999999</v>
      </c>
      <c r="H463" s="3">
        <v>10</v>
      </c>
      <c r="I463" s="4">
        <f t="shared" si="61"/>
        <v>0.66006221600694615</v>
      </c>
      <c r="J463" s="4">
        <v>0.20873000000000008</v>
      </c>
      <c r="K463" s="4">
        <v>6.4233099999999999</v>
      </c>
      <c r="L463" s="3">
        <v>10</v>
      </c>
      <c r="M463" s="4">
        <f t="shared" si="62"/>
        <v>1.4619525850724449</v>
      </c>
      <c r="N463" s="4">
        <v>0.46231000000000044</v>
      </c>
      <c r="O463" s="4">
        <f t="shared" si="63"/>
        <v>0.17731953919479304</v>
      </c>
      <c r="P463" s="4">
        <f t="shared" si="64"/>
        <v>6.6856891561880511E-3</v>
      </c>
      <c r="Q463" s="3" t="s">
        <v>287</v>
      </c>
      <c r="R463" s="3" t="s">
        <v>258</v>
      </c>
      <c r="S463" s="3" t="s">
        <v>221</v>
      </c>
      <c r="T463" s="3" t="s">
        <v>8</v>
      </c>
      <c r="U463" s="3" t="s">
        <v>165</v>
      </c>
      <c r="V463" s="3" t="s">
        <v>332</v>
      </c>
      <c r="W463" s="3" t="s">
        <v>360</v>
      </c>
      <c r="X463" s="3" t="s">
        <v>147</v>
      </c>
      <c r="Y463" s="3">
        <v>75</v>
      </c>
      <c r="Z463" s="3">
        <v>0</v>
      </c>
      <c r="AA463" s="3">
        <v>56</v>
      </c>
      <c r="AB463" s="11" t="s">
        <v>397</v>
      </c>
    </row>
    <row r="464" spans="1:28">
      <c r="A464" s="3" t="s">
        <v>382</v>
      </c>
      <c r="B464" s="3" t="s">
        <v>259</v>
      </c>
      <c r="C464" s="3">
        <v>7</v>
      </c>
      <c r="D464" s="3" t="s">
        <v>40</v>
      </c>
      <c r="E464" s="3">
        <v>2.8</v>
      </c>
      <c r="F464" s="3">
        <v>1985</v>
      </c>
      <c r="G464" s="4">
        <v>5.5747600000000004</v>
      </c>
      <c r="H464" s="3">
        <v>10</v>
      </c>
      <c r="I464" s="4">
        <f t="shared" si="61"/>
        <v>1.6439416644151323</v>
      </c>
      <c r="J464" s="4">
        <v>0.51985999999999954</v>
      </c>
      <c r="K464" s="4">
        <v>6.6434499999999996</v>
      </c>
      <c r="L464" s="3">
        <v>10</v>
      </c>
      <c r="M464" s="4">
        <f t="shared" si="62"/>
        <v>1.865870310605751</v>
      </c>
      <c r="N464" s="4">
        <v>0.59004000000000012</v>
      </c>
      <c r="O464" s="4">
        <f t="shared" si="63"/>
        <v>0.17538213977534142</v>
      </c>
      <c r="P464" s="4">
        <f t="shared" si="64"/>
        <v>1.6584175874986302E-2</v>
      </c>
      <c r="Q464" s="3" t="s">
        <v>287</v>
      </c>
      <c r="R464" s="3" t="s">
        <v>258</v>
      </c>
      <c r="S464" s="3" t="s">
        <v>221</v>
      </c>
      <c r="T464" s="3" t="s">
        <v>8</v>
      </c>
      <c r="U464" s="3" t="s">
        <v>165</v>
      </c>
      <c r="V464" s="3" t="s">
        <v>333</v>
      </c>
      <c r="W464" s="3" t="s">
        <v>360</v>
      </c>
      <c r="X464" s="3" t="s">
        <v>147</v>
      </c>
      <c r="Y464" s="3">
        <v>25</v>
      </c>
      <c r="Z464" s="3">
        <v>0</v>
      </c>
      <c r="AA464" s="3">
        <v>14</v>
      </c>
      <c r="AB464" s="11" t="s">
        <v>397</v>
      </c>
    </row>
    <row r="465" spans="1:28">
      <c r="A465" s="3" t="s">
        <v>382</v>
      </c>
      <c r="B465" s="3" t="s">
        <v>259</v>
      </c>
      <c r="C465" s="3">
        <v>8</v>
      </c>
      <c r="D465" s="3" t="s">
        <v>40</v>
      </c>
      <c r="E465" s="3">
        <v>2.8</v>
      </c>
      <c r="F465" s="3">
        <v>1985</v>
      </c>
      <c r="G465" s="4">
        <v>5.5747600000000004</v>
      </c>
      <c r="H465" s="3">
        <v>10</v>
      </c>
      <c r="I465" s="4">
        <f t="shared" si="61"/>
        <v>1.6439416644151323</v>
      </c>
      <c r="J465" s="4">
        <v>0.51985999999999954</v>
      </c>
      <c r="K465" s="4">
        <v>6.8711799999999998</v>
      </c>
      <c r="L465" s="3">
        <v>10</v>
      </c>
      <c r="M465" s="4">
        <f t="shared" si="62"/>
        <v>1.7638552332887192</v>
      </c>
      <c r="N465" s="4">
        <v>0.55778000000000016</v>
      </c>
      <c r="O465" s="4">
        <f t="shared" si="63"/>
        <v>0.20908658567373023</v>
      </c>
      <c r="P465" s="4">
        <f t="shared" si="64"/>
        <v>1.5285681786543787E-2</v>
      </c>
      <c r="Q465" s="3" t="s">
        <v>287</v>
      </c>
      <c r="R465" s="3" t="s">
        <v>258</v>
      </c>
      <c r="S465" s="3" t="s">
        <v>221</v>
      </c>
      <c r="T465" s="3" t="s">
        <v>8</v>
      </c>
      <c r="U465" s="3" t="s">
        <v>165</v>
      </c>
      <c r="V465" s="3" t="s">
        <v>333</v>
      </c>
      <c r="W465" s="3" t="s">
        <v>360</v>
      </c>
      <c r="X465" s="3" t="s">
        <v>147</v>
      </c>
      <c r="Y465" s="3">
        <v>50</v>
      </c>
      <c r="Z465" s="3">
        <v>0</v>
      </c>
      <c r="AA465" s="3">
        <v>14</v>
      </c>
      <c r="AB465" s="11" t="s">
        <v>397</v>
      </c>
    </row>
    <row r="466" spans="1:28">
      <c r="A466" s="3" t="s">
        <v>382</v>
      </c>
      <c r="B466" s="3" t="s">
        <v>259</v>
      </c>
      <c r="C466" s="3">
        <v>9</v>
      </c>
      <c r="D466" s="3" t="s">
        <v>40</v>
      </c>
      <c r="E466" s="3">
        <v>2.8</v>
      </c>
      <c r="F466" s="3">
        <v>1985</v>
      </c>
      <c r="G466" s="4">
        <v>5.5747600000000004</v>
      </c>
      <c r="H466" s="3">
        <v>10</v>
      </c>
      <c r="I466" s="4">
        <f t="shared" si="61"/>
        <v>1.6439416644151323</v>
      </c>
      <c r="J466" s="4">
        <v>0.51985999999999954</v>
      </c>
      <c r="K466" s="4">
        <v>7.63917</v>
      </c>
      <c r="L466" s="3">
        <v>10</v>
      </c>
      <c r="M466" s="4">
        <f t="shared" si="62"/>
        <v>1.1798774177854257</v>
      </c>
      <c r="N466" s="4">
        <v>0.3731100000000005</v>
      </c>
      <c r="O466" s="4">
        <f t="shared" si="63"/>
        <v>0.31503969144117849</v>
      </c>
      <c r="P466" s="4">
        <f t="shared" si="64"/>
        <v>1.1081529516180497E-2</v>
      </c>
      <c r="Q466" s="3" t="s">
        <v>287</v>
      </c>
      <c r="R466" s="3" t="s">
        <v>258</v>
      </c>
      <c r="S466" s="3" t="s">
        <v>221</v>
      </c>
      <c r="T466" s="3" t="s">
        <v>8</v>
      </c>
      <c r="U466" s="3" t="s">
        <v>165</v>
      </c>
      <c r="V466" s="3" t="s">
        <v>333</v>
      </c>
      <c r="W466" s="3" t="s">
        <v>360</v>
      </c>
      <c r="X466" s="3" t="s">
        <v>147</v>
      </c>
      <c r="Y466" s="3">
        <v>75</v>
      </c>
      <c r="Z466" s="3">
        <v>0</v>
      </c>
      <c r="AA466" s="3">
        <v>14</v>
      </c>
      <c r="AB466" s="11" t="s">
        <v>397</v>
      </c>
    </row>
    <row r="467" spans="1:28">
      <c r="A467" s="3" t="s">
        <v>382</v>
      </c>
      <c r="B467" s="3" t="s">
        <v>259</v>
      </c>
      <c r="C467" s="3">
        <v>10</v>
      </c>
      <c r="D467" s="3" t="s">
        <v>40</v>
      </c>
      <c r="E467" s="3">
        <v>2.8</v>
      </c>
      <c r="F467" s="3">
        <v>1985</v>
      </c>
      <c r="G467" s="4">
        <v>3.9931000000000001</v>
      </c>
      <c r="H467" s="3">
        <v>10</v>
      </c>
      <c r="I467" s="4">
        <f t="shared" si="61"/>
        <v>1.0026950004861892</v>
      </c>
      <c r="J467" s="4">
        <v>0.31707999999999981</v>
      </c>
      <c r="K467" s="4">
        <v>5.3424800000000001</v>
      </c>
      <c r="L467" s="3">
        <v>10</v>
      </c>
      <c r="M467" s="4">
        <f t="shared" si="62"/>
        <v>1.4929112833654925</v>
      </c>
      <c r="N467" s="4">
        <v>0.47210000000000019</v>
      </c>
      <c r="O467" s="4">
        <f t="shared" si="63"/>
        <v>0.29112209304422243</v>
      </c>
      <c r="P467" s="4">
        <f t="shared" si="64"/>
        <v>1.4114230082199145E-2</v>
      </c>
      <c r="Q467" s="3" t="s">
        <v>287</v>
      </c>
      <c r="R467" s="3" t="s">
        <v>258</v>
      </c>
      <c r="S467" s="3" t="s">
        <v>221</v>
      </c>
      <c r="T467" s="3" t="s">
        <v>8</v>
      </c>
      <c r="U467" s="3" t="s">
        <v>165</v>
      </c>
      <c r="V467" s="3" t="s">
        <v>333</v>
      </c>
      <c r="W467" s="3" t="s">
        <v>360</v>
      </c>
      <c r="X467" s="3" t="s">
        <v>147</v>
      </c>
      <c r="Y467" s="3">
        <v>25</v>
      </c>
      <c r="Z467" s="3">
        <v>0</v>
      </c>
      <c r="AA467" s="3">
        <v>56</v>
      </c>
      <c r="AB467" s="11" t="s">
        <v>397</v>
      </c>
    </row>
    <row r="468" spans="1:28">
      <c r="A468" s="3" t="s">
        <v>382</v>
      </c>
      <c r="B468" s="3" t="s">
        <v>259</v>
      </c>
      <c r="C468" s="3">
        <v>11</v>
      </c>
      <c r="D468" s="3" t="s">
        <v>40</v>
      </c>
      <c r="E468" s="3">
        <v>2.8</v>
      </c>
      <c r="F468" s="3">
        <v>1985</v>
      </c>
      <c r="G468" s="4">
        <v>3.9931000000000001</v>
      </c>
      <c r="H468" s="3">
        <v>10</v>
      </c>
      <c r="I468" s="4">
        <f t="shared" si="61"/>
        <v>1.0026950004861892</v>
      </c>
      <c r="J468" s="4">
        <v>0.31707999999999981</v>
      </c>
      <c r="K468" s="4">
        <v>5.4390000000000001</v>
      </c>
      <c r="L468" s="3">
        <v>10</v>
      </c>
      <c r="M468" s="4">
        <f t="shared" si="62"/>
        <v>1.4280529685554397</v>
      </c>
      <c r="N468" s="4">
        <v>0.45159000000000038</v>
      </c>
      <c r="O468" s="4">
        <f t="shared" si="63"/>
        <v>0.30902734884663413</v>
      </c>
      <c r="P468" s="4">
        <f t="shared" si="64"/>
        <v>1.3199138401588748E-2</v>
      </c>
      <c r="Q468" s="3" t="s">
        <v>287</v>
      </c>
      <c r="R468" s="3" t="s">
        <v>258</v>
      </c>
      <c r="S468" s="3" t="s">
        <v>221</v>
      </c>
      <c r="T468" s="3" t="s">
        <v>8</v>
      </c>
      <c r="U468" s="3" t="s">
        <v>165</v>
      </c>
      <c r="V468" s="3" t="s">
        <v>333</v>
      </c>
      <c r="W468" s="3" t="s">
        <v>360</v>
      </c>
      <c r="X468" s="3" t="s">
        <v>147</v>
      </c>
      <c r="Y468" s="3">
        <v>50</v>
      </c>
      <c r="Z468" s="3">
        <v>0</v>
      </c>
      <c r="AA468" s="3">
        <v>56</v>
      </c>
      <c r="AB468" s="11" t="s">
        <v>397</v>
      </c>
    </row>
    <row r="469" spans="1:28">
      <c r="A469" s="3" t="s">
        <v>382</v>
      </c>
      <c r="B469" s="3" t="s">
        <v>259</v>
      </c>
      <c r="C469" s="3">
        <v>12</v>
      </c>
      <c r="D469" s="3" t="s">
        <v>40</v>
      </c>
      <c r="E469" s="3">
        <v>2.8</v>
      </c>
      <c r="F469" s="3">
        <v>1985</v>
      </c>
      <c r="G469" s="4">
        <v>3.9931000000000001</v>
      </c>
      <c r="H469" s="3">
        <v>10</v>
      </c>
      <c r="I469" s="4">
        <f t="shared" si="61"/>
        <v>1.0026950004861892</v>
      </c>
      <c r="J469" s="4">
        <v>0.31707999999999981</v>
      </c>
      <c r="K469" s="4">
        <v>6.7623800000000003</v>
      </c>
      <c r="L469" s="3">
        <v>10</v>
      </c>
      <c r="M469" s="4">
        <f t="shared" si="62"/>
        <v>0.86975284765271021</v>
      </c>
      <c r="N469" s="4">
        <v>0.27503999999999973</v>
      </c>
      <c r="O469" s="4">
        <f t="shared" si="63"/>
        <v>0.52680702750414676</v>
      </c>
      <c r="P469" s="4">
        <f t="shared" si="64"/>
        <v>7.9596853674743784E-3</v>
      </c>
      <c r="Q469" s="3" t="s">
        <v>287</v>
      </c>
      <c r="R469" s="3" t="s">
        <v>258</v>
      </c>
      <c r="S469" s="3" t="s">
        <v>221</v>
      </c>
      <c r="T469" s="3" t="s">
        <v>8</v>
      </c>
      <c r="U469" s="3" t="s">
        <v>165</v>
      </c>
      <c r="V469" s="3" t="s">
        <v>333</v>
      </c>
      <c r="W469" s="3" t="s">
        <v>360</v>
      </c>
      <c r="X469" s="3" t="s">
        <v>147</v>
      </c>
      <c r="Y469" s="3">
        <v>75</v>
      </c>
      <c r="Z469" s="3">
        <v>0</v>
      </c>
      <c r="AA469" s="3">
        <v>56</v>
      </c>
      <c r="AB469" s="11" t="s">
        <v>397</v>
      </c>
    </row>
    <row r="470" spans="1:28">
      <c r="A470" s="3" t="s">
        <v>379</v>
      </c>
      <c r="B470" s="3" t="s">
        <v>262</v>
      </c>
      <c r="C470" s="3">
        <v>1</v>
      </c>
      <c r="D470" s="3" t="s">
        <v>263</v>
      </c>
      <c r="E470" s="3">
        <v>2.7</v>
      </c>
      <c r="F470" s="3">
        <v>2012</v>
      </c>
      <c r="G470" s="4">
        <v>1.9376090909090911</v>
      </c>
      <c r="H470" s="3">
        <v>11</v>
      </c>
      <c r="I470" s="4">
        <v>1.093311642419073</v>
      </c>
      <c r="J470" s="4">
        <f t="shared" ref="J470:J471" si="65">I470 / SQRT(H470)</f>
        <v>0.32964586334829782</v>
      </c>
      <c r="K470" s="4">
        <v>1.9315736363636367</v>
      </c>
      <c r="L470" s="3">
        <v>11</v>
      </c>
      <c r="M470" s="4">
        <v>1.0270450288889257</v>
      </c>
      <c r="N470" s="4">
        <f>M470 / SQRT(L470)</f>
        <v>0.30966572760220806</v>
      </c>
      <c r="O470" s="4">
        <f t="shared" si="63"/>
        <v>-3.1197593218417444E-3</v>
      </c>
      <c r="P470" s="4">
        <f t="shared" si="64"/>
        <v>5.4646104401222154E-2</v>
      </c>
      <c r="Q470" s="3" t="s">
        <v>298</v>
      </c>
      <c r="R470" s="3" t="s">
        <v>177</v>
      </c>
      <c r="S470" s="3" t="s">
        <v>221</v>
      </c>
      <c r="T470" s="3" t="s">
        <v>8</v>
      </c>
      <c r="U470" s="3" t="s">
        <v>337</v>
      </c>
      <c r="V470" s="3" t="s">
        <v>333</v>
      </c>
      <c r="W470" s="3" t="s">
        <v>339</v>
      </c>
      <c r="X470" s="3" t="s">
        <v>264</v>
      </c>
      <c r="Y470" s="3">
        <v>75</v>
      </c>
      <c r="Z470" s="3">
        <v>10</v>
      </c>
      <c r="AA470" s="3">
        <v>365</v>
      </c>
      <c r="AB470" s="11" t="s">
        <v>397</v>
      </c>
    </row>
    <row r="471" spans="1:28">
      <c r="A471" s="3" t="s">
        <v>379</v>
      </c>
      <c r="B471" s="3" t="s">
        <v>261</v>
      </c>
      <c r="C471" s="3">
        <v>2</v>
      </c>
      <c r="D471" s="3" t="s">
        <v>263</v>
      </c>
      <c r="E471" s="3">
        <v>2.7</v>
      </c>
      <c r="F471" s="3">
        <v>2012</v>
      </c>
      <c r="G471" s="4">
        <v>11.250021999999998</v>
      </c>
      <c r="H471" s="3">
        <v>10</v>
      </c>
      <c r="I471" s="4">
        <v>2.842816449352068</v>
      </c>
      <c r="J471" s="4">
        <f t="shared" si="65"/>
        <v>0.89897749497452373</v>
      </c>
      <c r="K471" s="4">
        <v>12.644203000000001</v>
      </c>
      <c r="L471" s="3">
        <v>10</v>
      </c>
      <c r="M471" s="4">
        <v>3.8114453115351532</v>
      </c>
      <c r="N471" s="4">
        <f>M471 / SQRT(L471)</f>
        <v>1.2052848361621122</v>
      </c>
      <c r="O471" s="4">
        <f t="shared" si="63"/>
        <v>0.11682876506628977</v>
      </c>
      <c r="P471" s="4">
        <f t="shared" si="64"/>
        <v>1.5471937540448802E-2</v>
      </c>
      <c r="Q471" s="3" t="s">
        <v>298</v>
      </c>
      <c r="R471" s="3" t="s">
        <v>177</v>
      </c>
      <c r="S471" s="3" t="s">
        <v>221</v>
      </c>
      <c r="T471" s="3" t="s">
        <v>8</v>
      </c>
      <c r="U471" s="3" t="s">
        <v>337</v>
      </c>
      <c r="V471" s="3" t="s">
        <v>333</v>
      </c>
      <c r="W471" s="3" t="s">
        <v>339</v>
      </c>
      <c r="X471" s="3" t="s">
        <v>264</v>
      </c>
      <c r="Y471" s="3">
        <v>75</v>
      </c>
      <c r="Z471" s="3">
        <v>10</v>
      </c>
      <c r="AA471" s="3">
        <v>365</v>
      </c>
      <c r="AB471" s="11" t="s">
        <v>397</v>
      </c>
    </row>
    <row r="472" spans="1:28">
      <c r="A472" s="3" t="s">
        <v>378</v>
      </c>
      <c r="B472" s="3" t="s">
        <v>265</v>
      </c>
      <c r="C472" s="3">
        <v>1</v>
      </c>
      <c r="D472" s="3" t="s">
        <v>263</v>
      </c>
      <c r="E472" s="3">
        <v>2.7</v>
      </c>
      <c r="F472" s="3">
        <v>2012</v>
      </c>
      <c r="G472" s="4">
        <v>8.1218800000000009</v>
      </c>
      <c r="H472" s="3">
        <v>3</v>
      </c>
      <c r="I472" s="4">
        <v>2.842816449352068</v>
      </c>
      <c r="J472" s="4">
        <v>1.5130899999999983</v>
      </c>
      <c r="K472" s="4">
        <v>7.4300100000000002</v>
      </c>
      <c r="L472" s="3">
        <v>3</v>
      </c>
      <c r="M472" s="4">
        <v>1.0270450288889257</v>
      </c>
      <c r="N472" s="4">
        <v>0.96010999999999935</v>
      </c>
      <c r="O472" s="4">
        <f t="shared" si="63"/>
        <v>-8.9034449845139155E-2</v>
      </c>
      <c r="P472" s="4">
        <f t="shared" si="64"/>
        <v>4.7206998024775237E-2</v>
      </c>
      <c r="Q472" s="3" t="s">
        <v>326</v>
      </c>
      <c r="R472" s="3" t="s">
        <v>266</v>
      </c>
      <c r="S472" s="3" t="s">
        <v>221</v>
      </c>
      <c r="T472" s="3" t="s">
        <v>8</v>
      </c>
      <c r="U472" s="3" t="s">
        <v>335</v>
      </c>
      <c r="V472" s="3" t="s">
        <v>332</v>
      </c>
      <c r="W472" s="3" t="s">
        <v>112</v>
      </c>
      <c r="X472" s="3" t="s">
        <v>99</v>
      </c>
      <c r="Y472" s="3" t="s">
        <v>363</v>
      </c>
      <c r="Z472" s="3">
        <v>0</v>
      </c>
      <c r="AA472" s="3">
        <v>0</v>
      </c>
      <c r="AB472" s="11" t="s">
        <v>397</v>
      </c>
    </row>
    <row r="473" spans="1:28">
      <c r="A473" s="3" t="s">
        <v>378</v>
      </c>
      <c r="B473" s="3" t="s">
        <v>265</v>
      </c>
      <c r="C473" s="3">
        <v>2</v>
      </c>
      <c r="D473" s="3" t="s">
        <v>263</v>
      </c>
      <c r="E473" s="3">
        <v>2.7</v>
      </c>
      <c r="F473" s="3">
        <v>2012</v>
      </c>
      <c r="G473" s="4">
        <v>13.03702</v>
      </c>
      <c r="H473" s="3">
        <v>3</v>
      </c>
      <c r="I473" s="4">
        <v>2.842816449352068</v>
      </c>
      <c r="J473" s="4">
        <v>2.2622599999999995</v>
      </c>
      <c r="K473" s="4">
        <v>12.937189999999999</v>
      </c>
      <c r="L473" s="3">
        <v>3</v>
      </c>
      <c r="M473" s="4">
        <v>1.0270450288889257</v>
      </c>
      <c r="N473" s="4">
        <v>2.8082900000000013</v>
      </c>
      <c r="O473" s="4">
        <f t="shared" si="63"/>
        <v>-7.6868933888793829E-3</v>
      </c>
      <c r="P473" s="4">
        <f t="shared" si="64"/>
        <v>1.7950418227954658E-2</v>
      </c>
      <c r="Q473" s="3" t="s">
        <v>326</v>
      </c>
      <c r="R473" s="3" t="s">
        <v>266</v>
      </c>
      <c r="S473" s="3" t="s">
        <v>221</v>
      </c>
      <c r="T473" s="3" t="s">
        <v>8</v>
      </c>
      <c r="U473" s="3" t="s">
        <v>335</v>
      </c>
      <c r="V473" s="3" t="s">
        <v>332</v>
      </c>
      <c r="W473" s="3" t="s">
        <v>112</v>
      </c>
      <c r="X473" s="3" t="s">
        <v>99</v>
      </c>
      <c r="Y473" s="3" t="s">
        <v>363</v>
      </c>
      <c r="Z473" s="3">
        <v>11</v>
      </c>
      <c r="AA473" s="3">
        <v>0</v>
      </c>
      <c r="AB473" s="11" t="s">
        <v>397</v>
      </c>
    </row>
    <row r="474" spans="1:28">
      <c r="A474" s="3" t="s">
        <v>378</v>
      </c>
      <c r="B474" s="3" t="s">
        <v>265</v>
      </c>
      <c r="C474" s="3">
        <v>3</v>
      </c>
      <c r="D474" s="3" t="s">
        <v>263</v>
      </c>
      <c r="E474" s="3">
        <v>2.7</v>
      </c>
      <c r="F474" s="3">
        <v>2012</v>
      </c>
      <c r="G474" s="4">
        <v>21.780460000000001</v>
      </c>
      <c r="H474" s="3">
        <v>3</v>
      </c>
      <c r="I474" s="4">
        <v>2.842816449352068</v>
      </c>
      <c r="J474" s="4">
        <v>3.3881699999999988</v>
      </c>
      <c r="K474" s="4">
        <v>18.527709999999999</v>
      </c>
      <c r="L474" s="3">
        <v>3</v>
      </c>
      <c r="M474" s="4">
        <v>1.0270450288889257</v>
      </c>
      <c r="N474" s="4">
        <v>2.7405700000000017</v>
      </c>
      <c r="O474" s="4">
        <f t="shared" si="63"/>
        <v>-0.16174578829372377</v>
      </c>
      <c r="P474" s="4">
        <f t="shared" si="64"/>
        <v>6.7028826865794932E-3</v>
      </c>
      <c r="Q474" s="3" t="s">
        <v>326</v>
      </c>
      <c r="R474" s="3" t="s">
        <v>266</v>
      </c>
      <c r="S474" s="3" t="s">
        <v>221</v>
      </c>
      <c r="T474" s="3" t="s">
        <v>8</v>
      </c>
      <c r="U474" s="3" t="s">
        <v>335</v>
      </c>
      <c r="V474" s="3" t="s">
        <v>332</v>
      </c>
      <c r="W474" s="3" t="s">
        <v>112</v>
      </c>
      <c r="X474" s="3" t="s">
        <v>99</v>
      </c>
      <c r="Y474" s="3" t="s">
        <v>363</v>
      </c>
      <c r="Z474" s="3">
        <v>8</v>
      </c>
      <c r="AA474" s="3">
        <v>0</v>
      </c>
      <c r="AB474" s="11" t="s">
        <v>397</v>
      </c>
    </row>
    <row r="475" spans="1:28">
      <c r="A475" s="3" t="s">
        <v>378</v>
      </c>
      <c r="B475" s="3" t="s">
        <v>265</v>
      </c>
      <c r="C475" s="3">
        <v>4</v>
      </c>
      <c r="D475" s="3" t="s">
        <v>263</v>
      </c>
      <c r="E475" s="3">
        <v>2.7</v>
      </c>
      <c r="F475" s="3">
        <v>2012</v>
      </c>
      <c r="G475" s="4">
        <v>23.112110000000001</v>
      </c>
      <c r="H475" s="3">
        <v>6</v>
      </c>
      <c r="I475" s="4">
        <v>2.842816449352068</v>
      </c>
      <c r="J475" s="4">
        <v>1.5808</v>
      </c>
      <c r="K475" s="4">
        <v>21.67108</v>
      </c>
      <c r="L475" s="3">
        <v>6</v>
      </c>
      <c r="M475" s="4">
        <v>1.0270450288889257</v>
      </c>
      <c r="N475" s="4">
        <v>1.644169999999999</v>
      </c>
      <c r="O475" s="4">
        <f t="shared" si="63"/>
        <v>-6.4378069792179388E-2</v>
      </c>
      <c r="P475" s="4">
        <f t="shared" si="64"/>
        <v>2.8958880752798719E-3</v>
      </c>
      <c r="Q475" s="3" t="s">
        <v>326</v>
      </c>
      <c r="R475" s="3" t="s">
        <v>266</v>
      </c>
      <c r="S475" s="3" t="s">
        <v>221</v>
      </c>
      <c r="T475" s="3" t="s">
        <v>8</v>
      </c>
      <c r="U475" s="3" t="s">
        <v>335</v>
      </c>
      <c r="V475" s="3" t="s">
        <v>332</v>
      </c>
      <c r="W475" s="3" t="s">
        <v>112</v>
      </c>
      <c r="X475" s="3" t="s">
        <v>99</v>
      </c>
      <c r="Y475" s="3" t="s">
        <v>363</v>
      </c>
      <c r="Z475" s="3">
        <v>32</v>
      </c>
      <c r="AA475" s="3">
        <v>0</v>
      </c>
      <c r="AB475" s="11" t="s">
        <v>397</v>
      </c>
    </row>
    <row r="476" spans="1:28">
      <c r="A476" s="3" t="s">
        <v>378</v>
      </c>
      <c r="B476" s="3" t="s">
        <v>265</v>
      </c>
      <c r="C476" s="3">
        <v>5</v>
      </c>
      <c r="D476" s="3" t="s">
        <v>263</v>
      </c>
      <c r="E476" s="3">
        <v>2.7</v>
      </c>
      <c r="F476" s="3">
        <v>2012</v>
      </c>
      <c r="G476" s="4">
        <v>98.84205</v>
      </c>
      <c r="H476" s="3">
        <v>3</v>
      </c>
      <c r="I476" s="4">
        <v>2.842816449352068</v>
      </c>
      <c r="J476" s="4">
        <v>13.381079999999997</v>
      </c>
      <c r="K476" s="4">
        <v>115.05016999999999</v>
      </c>
      <c r="L476" s="3">
        <v>3</v>
      </c>
      <c r="M476" s="4">
        <v>1.0270450288889257</v>
      </c>
      <c r="N476" s="4">
        <v>12.182110000000009</v>
      </c>
      <c r="O476" s="4">
        <f t="shared" si="63"/>
        <v>0.15184517260252972</v>
      </c>
      <c r="P476" s="4">
        <f t="shared" si="64"/>
        <v>3.0229900595376115E-4</v>
      </c>
      <c r="Q476" s="3" t="s">
        <v>326</v>
      </c>
      <c r="R476" s="3" t="s">
        <v>266</v>
      </c>
      <c r="S476" s="3" t="s">
        <v>221</v>
      </c>
      <c r="T476" s="3" t="s">
        <v>134</v>
      </c>
      <c r="U476" s="3" t="s">
        <v>335</v>
      </c>
      <c r="V476" s="3" t="s">
        <v>332</v>
      </c>
      <c r="W476" s="3" t="s">
        <v>112</v>
      </c>
      <c r="X476" s="3" t="s">
        <v>99</v>
      </c>
      <c r="Y476" s="3" t="s">
        <v>363</v>
      </c>
      <c r="Z476" s="3">
        <v>0</v>
      </c>
      <c r="AA476" s="3">
        <v>0</v>
      </c>
      <c r="AB476" s="11" t="s">
        <v>397</v>
      </c>
    </row>
    <row r="477" spans="1:28">
      <c r="A477" s="3" t="s">
        <v>378</v>
      </c>
      <c r="B477" s="3" t="s">
        <v>265</v>
      </c>
      <c r="C477" s="3">
        <v>6</v>
      </c>
      <c r="D477" s="3" t="s">
        <v>263</v>
      </c>
      <c r="E477" s="3">
        <v>2.7</v>
      </c>
      <c r="F477" s="3">
        <v>2012</v>
      </c>
      <c r="G477" s="4">
        <v>106.37976</v>
      </c>
      <c r="H477" s="3">
        <v>3</v>
      </c>
      <c r="I477" s="4">
        <v>2.842816449352068</v>
      </c>
      <c r="J477" s="4">
        <v>11.932850000000002</v>
      </c>
      <c r="K477" s="4">
        <v>95.402919999999995</v>
      </c>
      <c r="L477" s="3">
        <v>3</v>
      </c>
      <c r="M477" s="4">
        <v>1.0270450288889257</v>
      </c>
      <c r="N477" s="4">
        <v>23.528110000000012</v>
      </c>
      <c r="O477" s="4">
        <f t="shared" si="63"/>
        <v>-0.10890614729617329</v>
      </c>
      <c r="P477" s="4">
        <f t="shared" si="64"/>
        <v>2.76675481345017E-4</v>
      </c>
      <c r="Q477" s="3" t="s">
        <v>326</v>
      </c>
      <c r="R477" s="3" t="s">
        <v>266</v>
      </c>
      <c r="S477" s="3" t="s">
        <v>221</v>
      </c>
      <c r="T477" s="3" t="s">
        <v>134</v>
      </c>
      <c r="U477" s="3" t="s">
        <v>335</v>
      </c>
      <c r="V477" s="3" t="s">
        <v>332</v>
      </c>
      <c r="W477" s="3" t="s">
        <v>112</v>
      </c>
      <c r="X477" s="3" t="s">
        <v>99</v>
      </c>
      <c r="Y477" s="3" t="s">
        <v>363</v>
      </c>
      <c r="Z477" s="3">
        <v>11</v>
      </c>
      <c r="AA477" s="3">
        <v>0</v>
      </c>
      <c r="AB477" s="11" t="s">
        <v>397</v>
      </c>
    </row>
    <row r="478" spans="1:28">
      <c r="A478" s="3" t="s">
        <v>378</v>
      </c>
      <c r="B478" s="3" t="s">
        <v>265</v>
      </c>
      <c r="C478" s="3">
        <v>7</v>
      </c>
      <c r="D478" s="3" t="s">
        <v>263</v>
      </c>
      <c r="E478" s="3">
        <v>2.7</v>
      </c>
      <c r="F478" s="3">
        <v>2012</v>
      </c>
      <c r="G478" s="4">
        <v>109.333</v>
      </c>
      <c r="H478" s="3">
        <v>3</v>
      </c>
      <c r="I478" s="4">
        <v>2.842816449352068</v>
      </c>
      <c r="J478" s="4">
        <v>23.51549</v>
      </c>
      <c r="K478" s="4">
        <v>112.08745999999999</v>
      </c>
      <c r="L478" s="3">
        <v>3</v>
      </c>
      <c r="M478" s="4">
        <v>1.0270450288889257</v>
      </c>
      <c r="N478" s="4">
        <v>28.689970000000017</v>
      </c>
      <c r="O478" s="4">
        <f t="shared" si="63"/>
        <v>2.4881188483146369E-2</v>
      </c>
      <c r="P478" s="4">
        <f t="shared" si="64"/>
        <v>2.5334463647119499E-4</v>
      </c>
      <c r="Q478" s="3" t="s">
        <v>326</v>
      </c>
      <c r="R478" s="3" t="s">
        <v>266</v>
      </c>
      <c r="S478" s="3" t="s">
        <v>221</v>
      </c>
      <c r="T478" s="3" t="s">
        <v>134</v>
      </c>
      <c r="U478" s="3" t="s">
        <v>335</v>
      </c>
      <c r="V478" s="3" t="s">
        <v>332</v>
      </c>
      <c r="W478" s="3" t="s">
        <v>112</v>
      </c>
      <c r="X478" s="3" t="s">
        <v>99</v>
      </c>
      <c r="Y478" s="3" t="s">
        <v>363</v>
      </c>
      <c r="Z478" s="3">
        <v>8</v>
      </c>
      <c r="AA478" s="3">
        <v>0</v>
      </c>
      <c r="AB478" s="11" t="s">
        <v>397</v>
      </c>
    </row>
    <row r="479" spans="1:28">
      <c r="A479" s="3" t="s">
        <v>378</v>
      </c>
      <c r="B479" s="3" t="s">
        <v>265</v>
      </c>
      <c r="C479" s="3">
        <v>8</v>
      </c>
      <c r="D479" s="3" t="s">
        <v>263</v>
      </c>
      <c r="E479" s="3">
        <v>2.7</v>
      </c>
      <c r="F479" s="3">
        <v>2012</v>
      </c>
      <c r="G479" s="4">
        <v>135.92162999999999</v>
      </c>
      <c r="H479" s="3">
        <v>6</v>
      </c>
      <c r="I479" s="4">
        <v>2.842816449352068</v>
      </c>
      <c r="J479" s="4">
        <v>13.59563</v>
      </c>
      <c r="K479" s="4">
        <v>156.98239000000001</v>
      </c>
      <c r="L479" s="3">
        <v>6</v>
      </c>
      <c r="M479" s="4">
        <v>1.0270450288889257</v>
      </c>
      <c r="N479" s="4">
        <v>12.686949999999996</v>
      </c>
      <c r="O479" s="4">
        <f t="shared" si="63"/>
        <v>0.14405516381197156</v>
      </c>
      <c r="P479" s="4">
        <f t="shared" si="64"/>
        <v>8.0040882918090567E-5</v>
      </c>
      <c r="Q479" s="3" t="s">
        <v>326</v>
      </c>
      <c r="R479" s="3" t="s">
        <v>266</v>
      </c>
      <c r="S479" s="3" t="s">
        <v>221</v>
      </c>
      <c r="T479" s="3" t="s">
        <v>134</v>
      </c>
      <c r="U479" s="3" t="s">
        <v>335</v>
      </c>
      <c r="V479" s="3" t="s">
        <v>332</v>
      </c>
      <c r="W479" s="3" t="s">
        <v>112</v>
      </c>
      <c r="X479" s="3" t="s">
        <v>99</v>
      </c>
      <c r="Y479" s="3" t="s">
        <v>363</v>
      </c>
      <c r="Z479" s="3">
        <v>32</v>
      </c>
      <c r="AA479" s="3">
        <v>1</v>
      </c>
      <c r="AB479" s="11" t="s">
        <v>397</v>
      </c>
    </row>
    <row r="480" spans="1:28">
      <c r="A480" s="3" t="s">
        <v>380</v>
      </c>
      <c r="B480" s="3" t="s">
        <v>267</v>
      </c>
      <c r="C480" s="3">
        <v>1</v>
      </c>
      <c r="D480" s="3" t="s">
        <v>268</v>
      </c>
      <c r="E480" s="3">
        <v>1.8</v>
      </c>
      <c r="F480" s="3">
        <v>2007</v>
      </c>
      <c r="G480" s="3">
        <v>18.578700000000005</v>
      </c>
      <c r="H480" s="3">
        <v>11</v>
      </c>
      <c r="I480" s="4">
        <v>5.9830339995375308</v>
      </c>
      <c r="J480" s="4">
        <f t="shared" ref="J480" si="66">I480 / SQRT(H480)</f>
        <v>1.8039526258550358</v>
      </c>
      <c r="K480" s="4">
        <v>24.985848999999995</v>
      </c>
      <c r="L480" s="3">
        <v>11</v>
      </c>
      <c r="M480" s="4">
        <v>5.0948625991383958</v>
      </c>
      <c r="N480" s="4">
        <f>M480 / SQRT(L480)</f>
        <v>1.5361588727051771</v>
      </c>
      <c r="O480" s="4">
        <f>LN(K479/G479)</f>
        <v>0.14405516381197156</v>
      </c>
      <c r="P480" s="4">
        <f>(M479^2)/(L479*(K479^2)) + (I479^2)/(H479*(G479^2))</f>
        <v>8.0040882918090567E-5</v>
      </c>
      <c r="Q480" s="3" t="s">
        <v>298</v>
      </c>
      <c r="R480" s="3" t="s">
        <v>177</v>
      </c>
      <c r="S480" s="3" t="s">
        <v>221</v>
      </c>
      <c r="T480" s="3" t="s">
        <v>8</v>
      </c>
      <c r="U480" s="3" t="s">
        <v>335</v>
      </c>
      <c r="V480" s="3" t="s">
        <v>332</v>
      </c>
      <c r="W480" s="3" t="s">
        <v>339</v>
      </c>
      <c r="X480" s="3" t="s">
        <v>264</v>
      </c>
      <c r="Y480" s="3">
        <v>75</v>
      </c>
      <c r="Z480" s="3">
        <v>10</v>
      </c>
      <c r="AA480" s="3">
        <v>7</v>
      </c>
      <c r="AB480" s="11" t="s">
        <v>397</v>
      </c>
    </row>
    <row r="481" spans="1:28">
      <c r="A481" s="3" t="s">
        <v>380</v>
      </c>
      <c r="B481" s="3" t="s">
        <v>267</v>
      </c>
      <c r="C481" s="3">
        <v>2</v>
      </c>
      <c r="D481" s="3" t="s">
        <v>268</v>
      </c>
      <c r="E481" s="3">
        <v>1.8</v>
      </c>
      <c r="F481" s="3">
        <v>2007</v>
      </c>
      <c r="G481" s="3">
        <v>6.560732999999999</v>
      </c>
      <c r="H481" s="3">
        <v>10</v>
      </c>
      <c r="I481" s="4">
        <v>5.9830339995375308</v>
      </c>
      <c r="J481" s="4">
        <v>3.3732649971472592</v>
      </c>
      <c r="K481" s="4">
        <v>16.366385000000001</v>
      </c>
      <c r="L481" s="3">
        <v>10</v>
      </c>
      <c r="M481" s="4">
        <v>5.0948625991383958</v>
      </c>
      <c r="N481" s="4">
        <v>5.0263989458220486</v>
      </c>
      <c r="O481" s="4">
        <f>LN(K480/G480)</f>
        <v>0.29629386137645436</v>
      </c>
      <c r="P481" s="4">
        <f>(M480^2)/(L480*(K480^2)) + (I480^2)/(H480*(G480^2))</f>
        <v>1.3207933343733009E-2</v>
      </c>
      <c r="Q481" s="3" t="s">
        <v>298</v>
      </c>
      <c r="R481" s="3" t="s">
        <v>177</v>
      </c>
      <c r="S481" s="3" t="s">
        <v>221</v>
      </c>
      <c r="T481" s="3" t="s">
        <v>8</v>
      </c>
      <c r="U481" s="3" t="s">
        <v>335</v>
      </c>
      <c r="V481" s="3" t="s">
        <v>332</v>
      </c>
      <c r="W481" s="3" t="s">
        <v>339</v>
      </c>
      <c r="X481" s="3" t="s">
        <v>264</v>
      </c>
      <c r="Y481" s="3">
        <v>75</v>
      </c>
      <c r="Z481" s="3">
        <v>10</v>
      </c>
      <c r="AA481" s="3">
        <v>7</v>
      </c>
      <c r="AB481" s="11" t="s">
        <v>397</v>
      </c>
    </row>
    <row r="482" spans="1:28">
      <c r="A482" s="3" t="s">
        <v>381</v>
      </c>
      <c r="B482" s="3" t="s">
        <v>400</v>
      </c>
      <c r="C482" s="3">
        <v>1</v>
      </c>
      <c r="D482" s="3" t="s">
        <v>28</v>
      </c>
      <c r="E482" s="3">
        <v>1.5</v>
      </c>
      <c r="F482" s="3">
        <v>2008</v>
      </c>
      <c r="G482" s="3">
        <v>38.38006</v>
      </c>
      <c r="H482" s="3">
        <v>4</v>
      </c>
      <c r="I482" s="4">
        <f xml:space="preserve"> J482 * SQRT(H482)</f>
        <v>11.004379999999998</v>
      </c>
      <c r="J482" s="4">
        <v>5.5021899999999988</v>
      </c>
      <c r="K482" s="3">
        <v>34.548580000000001</v>
      </c>
      <c r="L482" s="3">
        <v>4</v>
      </c>
      <c r="M482" s="4">
        <f xml:space="preserve"> N482 * SQRT(L482)</f>
        <v>11.558759999999992</v>
      </c>
      <c r="N482" s="4">
        <v>5.7793799999999962</v>
      </c>
      <c r="O482" s="4">
        <f t="shared" ref="O482:O514" si="67">LN(K482/G482)</f>
        <v>-0.10517160437878352</v>
      </c>
      <c r="P482" s="4">
        <f t="shared" ref="P482:P514" si="68">(M482^2)/(L482*(K482^2)) + (I482^2)/(H482*(G482^2))</f>
        <v>4.8535777566461352E-2</v>
      </c>
      <c r="Q482" s="4" t="s">
        <v>311</v>
      </c>
      <c r="R482" s="3" t="s">
        <v>344</v>
      </c>
      <c r="S482" s="3" t="s">
        <v>221</v>
      </c>
      <c r="T482" s="3" t="s">
        <v>8</v>
      </c>
      <c r="U482" s="3" t="s">
        <v>337</v>
      </c>
      <c r="V482" s="3" t="s">
        <v>332</v>
      </c>
      <c r="W482" s="3" t="s">
        <v>360</v>
      </c>
      <c r="X482" s="3" t="s">
        <v>147</v>
      </c>
      <c r="Y482" s="3">
        <v>25</v>
      </c>
      <c r="Z482" s="3">
        <v>30</v>
      </c>
      <c r="AA482" s="3">
        <v>14</v>
      </c>
      <c r="AB482" s="11" t="s">
        <v>397</v>
      </c>
    </row>
    <row r="483" spans="1:28">
      <c r="A483" s="3" t="s">
        <v>381</v>
      </c>
      <c r="B483" s="3" t="s">
        <v>400</v>
      </c>
      <c r="C483" s="3">
        <v>2</v>
      </c>
      <c r="D483" s="3" t="s">
        <v>343</v>
      </c>
      <c r="E483" s="3">
        <v>1.5</v>
      </c>
      <c r="F483" s="3">
        <v>2008</v>
      </c>
      <c r="G483" s="3">
        <v>38.38006</v>
      </c>
      <c r="H483" s="3">
        <v>4</v>
      </c>
      <c r="I483" s="4">
        <f t="shared" ref="I483:I493" si="69" xml:space="preserve"> J483 * SQRT(H483)</f>
        <v>11.004379999999998</v>
      </c>
      <c r="J483" s="4">
        <v>5.5021899999999988</v>
      </c>
      <c r="K483" s="3">
        <v>40.111319999999999</v>
      </c>
      <c r="L483" s="3">
        <v>4</v>
      </c>
      <c r="M483" s="4">
        <f t="shared" ref="M483:M493" si="70" xml:space="preserve"> N483 * SQRT(L483)</f>
        <v>12.8416</v>
      </c>
      <c r="N483" s="4">
        <v>6.4207999999999998</v>
      </c>
      <c r="O483" s="4">
        <f t="shared" si="67"/>
        <v>4.4120534846775888E-2</v>
      </c>
      <c r="P483" s="4">
        <f t="shared" si="68"/>
        <v>4.6176122958050368E-2</v>
      </c>
      <c r="Q483" s="4" t="s">
        <v>311</v>
      </c>
      <c r="R483" s="3" t="s">
        <v>344</v>
      </c>
      <c r="S483" s="3" t="s">
        <v>221</v>
      </c>
      <c r="T483" s="3" t="s">
        <v>8</v>
      </c>
      <c r="U483" s="3" t="s">
        <v>337</v>
      </c>
      <c r="V483" s="3" t="s">
        <v>332</v>
      </c>
      <c r="W483" s="3" t="s">
        <v>360</v>
      </c>
      <c r="X483" s="3" t="s">
        <v>147</v>
      </c>
      <c r="Y483" s="3">
        <v>50</v>
      </c>
      <c r="Z483" s="3">
        <v>30</v>
      </c>
      <c r="AA483" s="3">
        <v>14</v>
      </c>
      <c r="AB483" s="11" t="s">
        <v>397</v>
      </c>
    </row>
    <row r="484" spans="1:28">
      <c r="A484" s="3" t="s">
        <v>345</v>
      </c>
      <c r="B484" s="3" t="s">
        <v>346</v>
      </c>
      <c r="C484" s="3">
        <v>1</v>
      </c>
      <c r="D484" s="3" t="s">
        <v>161</v>
      </c>
      <c r="E484" s="3">
        <v>5.2</v>
      </c>
      <c r="F484" s="3">
        <v>1999</v>
      </c>
      <c r="G484" s="3">
        <v>39.85454</v>
      </c>
      <c r="H484" s="3">
        <v>8</v>
      </c>
      <c r="I484" s="4">
        <f t="shared" si="69"/>
        <v>12.380364936269039</v>
      </c>
      <c r="J484" s="4">
        <v>4.3771199999999979</v>
      </c>
      <c r="K484" s="3">
        <v>31.279669999999999</v>
      </c>
      <c r="L484" s="3">
        <v>8</v>
      </c>
      <c r="M484" s="4">
        <f t="shared" si="70"/>
        <v>12.978548988881615</v>
      </c>
      <c r="N484" s="4">
        <v>4.5886099999999992</v>
      </c>
      <c r="O484" s="4">
        <f t="shared" si="67"/>
        <v>-0.24226796022477468</v>
      </c>
      <c r="P484" s="4">
        <f t="shared" si="68"/>
        <v>3.3581842041538121E-2</v>
      </c>
      <c r="Q484" s="4" t="s">
        <v>311</v>
      </c>
      <c r="R484" s="3" t="s">
        <v>344</v>
      </c>
      <c r="S484" s="3" t="s">
        <v>221</v>
      </c>
      <c r="T484" s="3" t="s">
        <v>8</v>
      </c>
      <c r="U484" s="3" t="s">
        <v>337</v>
      </c>
      <c r="V484" s="3" t="s">
        <v>332</v>
      </c>
      <c r="W484" s="3" t="s">
        <v>360</v>
      </c>
      <c r="X484" s="3" t="s">
        <v>147</v>
      </c>
      <c r="Y484" s="3" t="s">
        <v>363</v>
      </c>
      <c r="Z484" s="3">
        <v>2</v>
      </c>
      <c r="AA484" s="3">
        <v>2</v>
      </c>
      <c r="AB484" s="11" t="s">
        <v>397</v>
      </c>
    </row>
    <row r="485" spans="1:28">
      <c r="A485" s="3" t="s">
        <v>345</v>
      </c>
      <c r="B485" s="3" t="s">
        <v>346</v>
      </c>
      <c r="C485" s="3">
        <v>2</v>
      </c>
      <c r="D485" s="3" t="s">
        <v>347</v>
      </c>
      <c r="E485" s="3">
        <v>5.2</v>
      </c>
      <c r="F485" s="3">
        <v>1999</v>
      </c>
      <c r="G485" s="3">
        <v>44.081740000000003</v>
      </c>
      <c r="H485" s="3">
        <v>8</v>
      </c>
      <c r="I485" s="4">
        <f t="shared" si="69"/>
        <v>11.789732784079531</v>
      </c>
      <c r="J485" s="4">
        <v>4.168299999999995</v>
      </c>
      <c r="K485" s="3">
        <v>44.175440000000002</v>
      </c>
      <c r="L485" s="3">
        <v>8</v>
      </c>
      <c r="M485" s="4">
        <f t="shared" si="70"/>
        <v>15.89380882635751</v>
      </c>
      <c r="N485" s="4">
        <v>5.6193099999999987</v>
      </c>
      <c r="O485" s="4">
        <f t="shared" si="67"/>
        <v>2.1233407911844912E-3</v>
      </c>
      <c r="P485" s="4">
        <f t="shared" si="68"/>
        <v>2.5122253564864434E-2</v>
      </c>
      <c r="Q485" s="4" t="s">
        <v>311</v>
      </c>
      <c r="R485" s="3" t="s">
        <v>344</v>
      </c>
      <c r="S485" s="3" t="s">
        <v>221</v>
      </c>
      <c r="T485" s="3" t="s">
        <v>8</v>
      </c>
      <c r="U485" s="3" t="s">
        <v>337</v>
      </c>
      <c r="V485" s="3" t="s">
        <v>332</v>
      </c>
      <c r="W485" s="3" t="s">
        <v>360</v>
      </c>
      <c r="X485" s="3" t="s">
        <v>147</v>
      </c>
      <c r="Y485" s="3" t="s">
        <v>363</v>
      </c>
      <c r="Z485" s="3">
        <v>2</v>
      </c>
      <c r="AA485" s="3">
        <v>2</v>
      </c>
      <c r="AB485" s="11" t="s">
        <v>397</v>
      </c>
    </row>
    <row r="486" spans="1:28">
      <c r="A486" s="3" t="s">
        <v>345</v>
      </c>
      <c r="B486" s="3" t="s">
        <v>346</v>
      </c>
      <c r="C486" s="3">
        <v>3</v>
      </c>
      <c r="D486" s="3" t="s">
        <v>347</v>
      </c>
      <c r="E486" s="3">
        <v>5.2</v>
      </c>
      <c r="F486" s="3">
        <v>1999</v>
      </c>
      <c r="G486" s="3">
        <v>24.1799</v>
      </c>
      <c r="H486" s="3">
        <v>8</v>
      </c>
      <c r="I486" s="4">
        <f t="shared" si="69"/>
        <v>8.352034172391777</v>
      </c>
      <c r="J486" s="4">
        <v>2.95289</v>
      </c>
      <c r="K486" s="3">
        <v>21.633949999999999</v>
      </c>
      <c r="L486" s="3">
        <v>8</v>
      </c>
      <c r="M486" s="4">
        <f t="shared" si="70"/>
        <v>10.343473142383079</v>
      </c>
      <c r="N486" s="4">
        <v>3.6569700000000012</v>
      </c>
      <c r="O486" s="4">
        <f t="shared" si="67"/>
        <v>-0.11125786950022205</v>
      </c>
      <c r="P486" s="4">
        <f t="shared" si="68"/>
        <v>4.3487711962138541E-2</v>
      </c>
      <c r="Q486" s="4" t="s">
        <v>311</v>
      </c>
      <c r="R486" s="3" t="s">
        <v>344</v>
      </c>
      <c r="S486" s="3" t="s">
        <v>221</v>
      </c>
      <c r="T486" s="3" t="s">
        <v>8</v>
      </c>
      <c r="U486" s="3" t="s">
        <v>337</v>
      </c>
      <c r="V486" s="3" t="s">
        <v>332</v>
      </c>
      <c r="W486" s="3" t="s">
        <v>360</v>
      </c>
      <c r="X486" s="3" t="s">
        <v>147</v>
      </c>
      <c r="Y486" s="3" t="s">
        <v>363</v>
      </c>
      <c r="Z486" s="3">
        <v>2</v>
      </c>
      <c r="AA486" s="3">
        <v>2</v>
      </c>
      <c r="AB486" s="11" t="s">
        <v>397</v>
      </c>
    </row>
    <row r="487" spans="1:28">
      <c r="A487" s="3" t="s">
        <v>345</v>
      </c>
      <c r="B487" s="3" t="s">
        <v>346</v>
      </c>
      <c r="C487" s="3">
        <v>4</v>
      </c>
      <c r="D487" s="3" t="s">
        <v>347</v>
      </c>
      <c r="E487" s="3">
        <v>5.2</v>
      </c>
      <c r="F487" s="3">
        <v>1999</v>
      </c>
      <c r="G487" s="3">
        <v>28.789929999999998</v>
      </c>
      <c r="H487" s="3">
        <v>8</v>
      </c>
      <c r="I487" s="4">
        <f t="shared" si="69"/>
        <v>16.916058957783285</v>
      </c>
      <c r="J487" s="4">
        <v>5.9807300000000012</v>
      </c>
      <c r="K487" s="3">
        <v>33.426740000000002</v>
      </c>
      <c r="L487" s="3">
        <v>8</v>
      </c>
      <c r="M487" s="4">
        <f t="shared" si="70"/>
        <v>11.585294071502878</v>
      </c>
      <c r="N487" s="4">
        <v>4.0960199999999958</v>
      </c>
      <c r="O487" s="4">
        <f t="shared" si="67"/>
        <v>0.14933050525543942</v>
      </c>
      <c r="P487" s="4">
        <f>(M487^2)/(L487*(K487^2)) + (I487^2)/(H487*(G487^2))</f>
        <v>5.8169979741797523E-2</v>
      </c>
      <c r="Q487" s="4" t="s">
        <v>311</v>
      </c>
      <c r="R487" s="3" t="s">
        <v>344</v>
      </c>
      <c r="S487" s="3" t="s">
        <v>221</v>
      </c>
      <c r="T487" s="3" t="s">
        <v>8</v>
      </c>
      <c r="U487" s="3" t="s">
        <v>337</v>
      </c>
      <c r="V487" s="3" t="s">
        <v>332</v>
      </c>
      <c r="W487" s="3" t="s">
        <v>360</v>
      </c>
      <c r="X487" s="3" t="s">
        <v>147</v>
      </c>
      <c r="Y487" s="3" t="s">
        <v>363</v>
      </c>
      <c r="Z487" s="3">
        <v>2</v>
      </c>
      <c r="AA487" s="3">
        <v>2</v>
      </c>
      <c r="AB487" s="11" t="s">
        <v>397</v>
      </c>
    </row>
    <row r="488" spans="1:28">
      <c r="A488" s="3" t="s">
        <v>345</v>
      </c>
      <c r="B488" s="3" t="s">
        <v>346</v>
      </c>
      <c r="C488" s="3">
        <v>5</v>
      </c>
      <c r="D488" s="3" t="s">
        <v>347</v>
      </c>
      <c r="E488" s="3">
        <v>5.2</v>
      </c>
      <c r="F488" s="3">
        <v>1999</v>
      </c>
      <c r="G488" s="3">
        <v>42.403179999999999</v>
      </c>
      <c r="H488" s="3">
        <v>8</v>
      </c>
      <c r="I488" s="4">
        <f t="shared" si="69"/>
        <v>9.9875721572762632</v>
      </c>
      <c r="J488" s="4">
        <v>3.5311400000000006</v>
      </c>
      <c r="K488" s="3">
        <v>30.24897</v>
      </c>
      <c r="L488" s="3">
        <v>8</v>
      </c>
      <c r="M488" s="4">
        <f t="shared" si="70"/>
        <v>10.169326884312447</v>
      </c>
      <c r="N488" s="4">
        <v>3.5953999999999979</v>
      </c>
      <c r="O488" s="4">
        <f t="shared" si="67"/>
        <v>-0.33776122511517948</v>
      </c>
      <c r="P488" s="4">
        <f t="shared" si="68"/>
        <v>2.1062543228090345E-2</v>
      </c>
      <c r="Q488" s="4" t="s">
        <v>311</v>
      </c>
      <c r="R488" s="3" t="s">
        <v>344</v>
      </c>
      <c r="S488" s="3" t="s">
        <v>221</v>
      </c>
      <c r="T488" s="3" t="s">
        <v>8</v>
      </c>
      <c r="U488" s="3" t="s">
        <v>337</v>
      </c>
      <c r="V488" s="3" t="s">
        <v>332</v>
      </c>
      <c r="W488" s="3" t="s">
        <v>360</v>
      </c>
      <c r="X488" s="3" t="s">
        <v>147</v>
      </c>
      <c r="Y488" s="3" t="s">
        <v>363</v>
      </c>
      <c r="Z488" s="3">
        <v>2</v>
      </c>
      <c r="AA488" s="3">
        <v>2</v>
      </c>
      <c r="AB488" s="11" t="s">
        <v>397</v>
      </c>
    </row>
    <row r="489" spans="1:28">
      <c r="A489" s="3" t="s">
        <v>345</v>
      </c>
      <c r="B489" s="3" t="s">
        <v>346</v>
      </c>
      <c r="C489" s="3">
        <v>6</v>
      </c>
      <c r="D489" s="3" t="s">
        <v>347</v>
      </c>
      <c r="E489" s="3">
        <v>5.2</v>
      </c>
      <c r="F489" s="3">
        <v>1999</v>
      </c>
      <c r="G489" s="3">
        <v>29.900950000000002</v>
      </c>
      <c r="H489" s="3">
        <v>8</v>
      </c>
      <c r="I489" s="4">
        <f t="shared" si="69"/>
        <v>13.046685798316743</v>
      </c>
      <c r="J489" s="4">
        <v>4.6126999999999967</v>
      </c>
      <c r="K489" s="3">
        <v>27.480810000000002</v>
      </c>
      <c r="L489" s="3">
        <v>8</v>
      </c>
      <c r="M489" s="4">
        <f t="shared" si="70"/>
        <v>10.782671306313661</v>
      </c>
      <c r="N489" s="4">
        <v>3.8122499999999988</v>
      </c>
      <c r="O489" s="4">
        <f t="shared" si="67"/>
        <v>-8.4402309564880929E-2</v>
      </c>
      <c r="P489" s="4">
        <f t="shared" si="68"/>
        <v>4.304236875870518E-2</v>
      </c>
      <c r="Q489" s="4" t="s">
        <v>311</v>
      </c>
      <c r="R489" s="3" t="s">
        <v>344</v>
      </c>
      <c r="S489" s="3" t="s">
        <v>221</v>
      </c>
      <c r="T489" s="3" t="s">
        <v>8</v>
      </c>
      <c r="U489" s="3" t="s">
        <v>337</v>
      </c>
      <c r="V489" s="3" t="s">
        <v>332</v>
      </c>
      <c r="W489" s="3" t="s">
        <v>360</v>
      </c>
      <c r="X489" s="3" t="s">
        <v>147</v>
      </c>
      <c r="Y489" s="3" t="s">
        <v>363</v>
      </c>
      <c r="Z489" s="3">
        <v>2</v>
      </c>
      <c r="AA489" s="3">
        <v>2</v>
      </c>
      <c r="AB489" s="11" t="s">
        <v>397</v>
      </c>
    </row>
    <row r="490" spans="1:28">
      <c r="A490" s="3" t="s">
        <v>345</v>
      </c>
      <c r="B490" s="3" t="s">
        <v>346</v>
      </c>
      <c r="C490" s="3">
        <v>7</v>
      </c>
      <c r="D490" s="3" t="s">
        <v>347</v>
      </c>
      <c r="E490" s="3">
        <v>5.2</v>
      </c>
      <c r="F490" s="3">
        <v>1999</v>
      </c>
      <c r="G490" s="3">
        <v>25.68713</v>
      </c>
      <c r="H490" s="3">
        <v>8</v>
      </c>
      <c r="I490" s="4">
        <f t="shared" si="69"/>
        <v>13.122431076717453</v>
      </c>
      <c r="J490" s="4">
        <v>4.6394799999999989</v>
      </c>
      <c r="K490" s="3">
        <v>24.303049999999999</v>
      </c>
      <c r="L490" s="3">
        <v>8</v>
      </c>
      <c r="M490" s="4">
        <f t="shared" si="70"/>
        <v>11.918482786797997</v>
      </c>
      <c r="N490" s="4">
        <v>4.2138200000000019</v>
      </c>
      <c r="O490" s="4">
        <f t="shared" si="67"/>
        <v>-5.5388231386251062E-2</v>
      </c>
      <c r="P490" s="4">
        <f t="shared" si="68"/>
        <v>6.2684631643389083E-2</v>
      </c>
      <c r="Q490" s="4" t="s">
        <v>311</v>
      </c>
      <c r="R490" s="3" t="s">
        <v>344</v>
      </c>
      <c r="S490" s="3" t="s">
        <v>221</v>
      </c>
      <c r="T490" s="3" t="s">
        <v>8</v>
      </c>
      <c r="U490" s="3" t="s">
        <v>337</v>
      </c>
      <c r="V490" s="3" t="s">
        <v>332</v>
      </c>
      <c r="W490" s="3" t="s">
        <v>360</v>
      </c>
      <c r="X490" s="3" t="s">
        <v>147</v>
      </c>
      <c r="Y490" s="3" t="s">
        <v>363</v>
      </c>
      <c r="Z490" s="3">
        <v>2</v>
      </c>
      <c r="AA490" s="3">
        <v>2</v>
      </c>
      <c r="AB490" s="11" t="s">
        <v>397</v>
      </c>
    </row>
    <row r="491" spans="1:28">
      <c r="A491" s="3" t="s">
        <v>345</v>
      </c>
      <c r="B491" s="3" t="s">
        <v>346</v>
      </c>
      <c r="C491" s="3">
        <v>8</v>
      </c>
      <c r="D491" s="3" t="s">
        <v>347</v>
      </c>
      <c r="E491" s="3">
        <v>5.2</v>
      </c>
      <c r="F491" s="3">
        <v>1999</v>
      </c>
      <c r="G491" s="3">
        <v>45.072279999999999</v>
      </c>
      <c r="H491" s="3">
        <v>8</v>
      </c>
      <c r="I491" s="4">
        <f t="shared" si="69"/>
        <v>15.946813550675257</v>
      </c>
      <c r="J491" s="4">
        <v>5.6380499999999998</v>
      </c>
      <c r="K491" s="3">
        <v>38.914870000000001</v>
      </c>
      <c r="L491" s="3">
        <v>8</v>
      </c>
      <c r="M491" s="4">
        <f t="shared" si="70"/>
        <v>11.873029962903319</v>
      </c>
      <c r="N491" s="4">
        <v>4.1977499999999992</v>
      </c>
      <c r="O491" s="4">
        <f t="shared" si="67"/>
        <v>-0.14689098360567809</v>
      </c>
      <c r="P491" s="4">
        <f t="shared" si="68"/>
        <v>2.7283231102988525E-2</v>
      </c>
      <c r="Q491" s="4" t="s">
        <v>311</v>
      </c>
      <c r="R491" s="3" t="s">
        <v>344</v>
      </c>
      <c r="S491" s="3" t="s">
        <v>221</v>
      </c>
      <c r="T491" s="3" t="s">
        <v>8</v>
      </c>
      <c r="U491" s="3" t="s">
        <v>337</v>
      </c>
      <c r="V491" s="3" t="s">
        <v>332</v>
      </c>
      <c r="W491" s="3" t="s">
        <v>360</v>
      </c>
      <c r="X491" s="3" t="s">
        <v>147</v>
      </c>
      <c r="Y491" s="3" t="s">
        <v>363</v>
      </c>
      <c r="Z491" s="3">
        <v>2</v>
      </c>
      <c r="AA491" s="3">
        <v>2</v>
      </c>
      <c r="AB491" s="11" t="s">
        <v>397</v>
      </c>
    </row>
    <row r="492" spans="1:28">
      <c r="A492" s="3" t="s">
        <v>345</v>
      </c>
      <c r="B492" s="3" t="s">
        <v>346</v>
      </c>
      <c r="C492" s="3">
        <v>9</v>
      </c>
      <c r="D492" s="3" t="s">
        <v>347</v>
      </c>
      <c r="E492" s="3">
        <v>5.2</v>
      </c>
      <c r="F492" s="3">
        <v>1999</v>
      </c>
      <c r="G492" s="3">
        <v>25.074069999999999</v>
      </c>
      <c r="H492" s="3">
        <v>8</v>
      </c>
      <c r="I492" s="4">
        <f t="shared" si="69"/>
        <v>11.888162048020719</v>
      </c>
      <c r="J492" s="4">
        <v>4.2031000000000027</v>
      </c>
      <c r="K492" s="3">
        <v>29.277170000000002</v>
      </c>
      <c r="L492" s="3">
        <v>8</v>
      </c>
      <c r="M492" s="4">
        <f t="shared" si="70"/>
        <v>13.90236985636621</v>
      </c>
      <c r="N492" s="4">
        <v>4.9152299999999975</v>
      </c>
      <c r="O492" s="4">
        <f t="shared" si="67"/>
        <v>0.15497378699004724</v>
      </c>
      <c r="P492" s="4">
        <f t="shared" si="68"/>
        <v>5.6284673531501808E-2</v>
      </c>
      <c r="Q492" s="4" t="s">
        <v>311</v>
      </c>
      <c r="R492" s="3" t="s">
        <v>344</v>
      </c>
      <c r="S492" s="3" t="s">
        <v>221</v>
      </c>
      <c r="T492" s="3" t="s">
        <v>8</v>
      </c>
      <c r="U492" s="3" t="s">
        <v>337</v>
      </c>
      <c r="V492" s="3" t="s">
        <v>332</v>
      </c>
      <c r="W492" s="3" t="s">
        <v>360</v>
      </c>
      <c r="X492" s="3" t="s">
        <v>147</v>
      </c>
      <c r="Y492" s="3" t="s">
        <v>363</v>
      </c>
      <c r="Z492" s="3">
        <v>2</v>
      </c>
      <c r="AA492" s="3">
        <v>2</v>
      </c>
      <c r="AB492" s="11" t="s">
        <v>397</v>
      </c>
    </row>
    <row r="493" spans="1:28">
      <c r="A493" s="3" t="s">
        <v>345</v>
      </c>
      <c r="B493" s="3" t="s">
        <v>346</v>
      </c>
      <c r="C493" s="3">
        <v>10</v>
      </c>
      <c r="D493" s="3" t="s">
        <v>347</v>
      </c>
      <c r="E493" s="3">
        <v>5.2</v>
      </c>
      <c r="F493" s="3">
        <v>1999</v>
      </c>
      <c r="G493" s="3">
        <v>31.729430000000001</v>
      </c>
      <c r="H493" s="3">
        <v>8</v>
      </c>
      <c r="I493" s="4">
        <f t="shared" si="69"/>
        <v>14.159813293260619</v>
      </c>
      <c r="J493" s="4">
        <v>5.0062500000000014</v>
      </c>
      <c r="K493" s="3">
        <v>28.455290000000002</v>
      </c>
      <c r="L493" s="3">
        <v>8</v>
      </c>
      <c r="M493" s="4">
        <f t="shared" si="70"/>
        <v>12.304647942139576</v>
      </c>
      <c r="N493" s="4">
        <v>4.3503499999999953</v>
      </c>
      <c r="O493" s="4">
        <f t="shared" si="67"/>
        <v>-0.1089105578282514</v>
      </c>
      <c r="P493" s="4">
        <f t="shared" si="68"/>
        <v>4.8267760323554766E-2</v>
      </c>
      <c r="Q493" s="4" t="s">
        <v>311</v>
      </c>
      <c r="R493" s="3" t="s">
        <v>344</v>
      </c>
      <c r="S493" s="3" t="s">
        <v>221</v>
      </c>
      <c r="T493" s="3" t="s">
        <v>8</v>
      </c>
      <c r="U493" s="3" t="s">
        <v>337</v>
      </c>
      <c r="V493" s="3" t="s">
        <v>332</v>
      </c>
      <c r="W493" s="3" t="s">
        <v>360</v>
      </c>
      <c r="X493" s="3" t="s">
        <v>147</v>
      </c>
      <c r="Y493" s="3" t="s">
        <v>363</v>
      </c>
      <c r="Z493" s="3">
        <v>2</v>
      </c>
      <c r="AA493" s="3">
        <v>2</v>
      </c>
      <c r="AB493" s="11" t="s">
        <v>397</v>
      </c>
    </row>
    <row r="494" spans="1:28">
      <c r="A494" s="3" t="s">
        <v>349</v>
      </c>
      <c r="B494" s="3" t="s">
        <v>348</v>
      </c>
      <c r="C494" s="3">
        <v>1</v>
      </c>
      <c r="D494" s="3" t="s">
        <v>351</v>
      </c>
      <c r="E494" s="3">
        <v>7</v>
      </c>
      <c r="F494" s="3">
        <v>2002</v>
      </c>
      <c r="G494" s="3">
        <v>23.63954</v>
      </c>
      <c r="H494" s="3">
        <v>5</v>
      </c>
      <c r="I494" s="4">
        <f xml:space="preserve"> J494 * SQRT(H494)</f>
        <v>3.4939009362029698</v>
      </c>
      <c r="J494" s="4">
        <v>1.5625199999999992</v>
      </c>
      <c r="K494" s="3">
        <v>29.416160000000001</v>
      </c>
      <c r="L494" s="3">
        <v>5</v>
      </c>
      <c r="M494" s="4">
        <f xml:space="preserve"> N494 * SQRT(L494)</f>
        <v>3.1589155924937216</v>
      </c>
      <c r="N494" s="4">
        <v>1.412709999999997</v>
      </c>
      <c r="O494" s="4">
        <f t="shared" si="67"/>
        <v>0.21862344939719291</v>
      </c>
      <c r="P494" s="4">
        <f t="shared" si="68"/>
        <v>6.6753073755638631E-3</v>
      </c>
      <c r="Q494" s="4" t="s">
        <v>298</v>
      </c>
      <c r="R494" s="3" t="s">
        <v>352</v>
      </c>
      <c r="S494" s="3" t="s">
        <v>221</v>
      </c>
      <c r="T494" s="3" t="s">
        <v>8</v>
      </c>
      <c r="U494" s="3" t="s">
        <v>335</v>
      </c>
      <c r="V494" s="3" t="s">
        <v>332</v>
      </c>
      <c r="W494" s="3" t="s">
        <v>360</v>
      </c>
      <c r="X494" s="3" t="s">
        <v>147</v>
      </c>
      <c r="Y494" s="3" t="s">
        <v>363</v>
      </c>
      <c r="Z494" s="3" t="s">
        <v>363</v>
      </c>
      <c r="AA494" s="3">
        <v>0</v>
      </c>
      <c r="AB494" s="11" t="s">
        <v>397</v>
      </c>
    </row>
    <row r="495" spans="1:28">
      <c r="A495" s="3" t="s">
        <v>349</v>
      </c>
      <c r="B495" s="3" t="s">
        <v>348</v>
      </c>
      <c r="C495" s="3">
        <v>2</v>
      </c>
      <c r="D495" s="3" t="s">
        <v>350</v>
      </c>
      <c r="E495" s="3">
        <v>7</v>
      </c>
      <c r="F495" s="3">
        <v>2002</v>
      </c>
      <c r="G495" s="3">
        <v>27.670349999999999</v>
      </c>
      <c r="H495" s="3">
        <v>5</v>
      </c>
      <c r="I495" s="4">
        <f t="shared" ref="I495:I501" si="71" xml:space="preserve"> J495 * SQRT(H495)</f>
        <v>8.0463788136341172</v>
      </c>
      <c r="J495" s="4">
        <v>3.5984499999999997</v>
      </c>
      <c r="K495" s="3">
        <v>31.268799999999999</v>
      </c>
      <c r="L495" s="3">
        <v>5</v>
      </c>
      <c r="M495" s="4">
        <f t="shared" ref="M495:M501" si="72" xml:space="preserve"> N495 * SQRT(L495)</f>
        <v>9.5982994327380737</v>
      </c>
      <c r="N495" s="4">
        <v>4.2924900000000008</v>
      </c>
      <c r="O495" s="4">
        <f t="shared" si="67"/>
        <v>0.12225935249641547</v>
      </c>
      <c r="P495" s="4">
        <f t="shared" si="68"/>
        <v>3.5757260311930932E-2</v>
      </c>
      <c r="Q495" s="4" t="s">
        <v>298</v>
      </c>
      <c r="R495" s="3" t="s">
        <v>352</v>
      </c>
      <c r="S495" s="3" t="s">
        <v>221</v>
      </c>
      <c r="T495" s="3" t="s">
        <v>8</v>
      </c>
      <c r="U495" s="3" t="s">
        <v>335</v>
      </c>
      <c r="V495" s="3" t="s">
        <v>332</v>
      </c>
      <c r="W495" s="3" t="s">
        <v>360</v>
      </c>
      <c r="X495" s="3" t="s">
        <v>147</v>
      </c>
      <c r="Y495" s="3" t="s">
        <v>363</v>
      </c>
      <c r="Z495" s="3" t="s">
        <v>363</v>
      </c>
      <c r="AA495" s="3">
        <v>1</v>
      </c>
      <c r="AB495" s="11" t="s">
        <v>397</v>
      </c>
    </row>
    <row r="496" spans="1:28">
      <c r="A496" s="3" t="s">
        <v>349</v>
      </c>
      <c r="B496" s="3" t="s">
        <v>348</v>
      </c>
      <c r="C496" s="3">
        <v>3</v>
      </c>
      <c r="D496" s="3" t="s">
        <v>350</v>
      </c>
      <c r="E496" s="3">
        <v>7</v>
      </c>
      <c r="F496" s="3">
        <v>2002</v>
      </c>
      <c r="G496" s="3">
        <v>31.17146</v>
      </c>
      <c r="H496" s="3">
        <v>5</v>
      </c>
      <c r="I496" s="4">
        <f t="shared" si="71"/>
        <v>7.2944785955200402</v>
      </c>
      <c r="J496" s="4">
        <v>3.2621900000000004</v>
      </c>
      <c r="K496" s="3">
        <v>33.328769999999999</v>
      </c>
      <c r="L496" s="3">
        <v>5</v>
      </c>
      <c r="M496" s="4">
        <f t="shared" si="72"/>
        <v>8.4407317621459867</v>
      </c>
      <c r="N496" s="4">
        <v>3.7748100000000022</v>
      </c>
      <c r="O496" s="4">
        <f t="shared" si="67"/>
        <v>6.6918055355859915E-2</v>
      </c>
      <c r="P496" s="4">
        <f t="shared" si="68"/>
        <v>2.378005536244808E-2</v>
      </c>
      <c r="Q496" s="4" t="s">
        <v>298</v>
      </c>
      <c r="R496" s="3" t="s">
        <v>352</v>
      </c>
      <c r="S496" s="3" t="s">
        <v>221</v>
      </c>
      <c r="T496" s="3" t="s">
        <v>8</v>
      </c>
      <c r="U496" s="3" t="s">
        <v>335</v>
      </c>
      <c r="V496" s="3" t="s">
        <v>332</v>
      </c>
      <c r="W496" s="3" t="s">
        <v>360</v>
      </c>
      <c r="X496" s="3" t="s">
        <v>147</v>
      </c>
      <c r="Y496" s="3" t="s">
        <v>363</v>
      </c>
      <c r="Z496" s="3" t="s">
        <v>363</v>
      </c>
      <c r="AA496" s="3">
        <v>2</v>
      </c>
      <c r="AB496" s="11" t="s">
        <v>397</v>
      </c>
    </row>
    <row r="497" spans="1:28">
      <c r="A497" s="3" t="s">
        <v>349</v>
      </c>
      <c r="B497" s="3" t="s">
        <v>348</v>
      </c>
      <c r="C497" s="3">
        <v>4</v>
      </c>
      <c r="D497" s="3" t="s">
        <v>350</v>
      </c>
      <c r="E497" s="3">
        <v>7</v>
      </c>
      <c r="F497" s="3">
        <v>2002</v>
      </c>
      <c r="G497" s="3">
        <v>33.637860000000003</v>
      </c>
      <c r="H497" s="3">
        <v>5</v>
      </c>
      <c r="I497" s="4">
        <f t="shared" si="71"/>
        <v>5.3256207413314725</v>
      </c>
      <c r="J497" s="4">
        <v>2.381689999999999</v>
      </c>
      <c r="K497" s="3">
        <v>34.95702</v>
      </c>
      <c r="L497" s="3">
        <v>5</v>
      </c>
      <c r="M497" s="4">
        <f t="shared" si="72"/>
        <v>8.8124557027255399</v>
      </c>
      <c r="N497" s="4">
        <v>3.9410499999999971</v>
      </c>
      <c r="O497" s="4">
        <f t="shared" si="67"/>
        <v>3.8467088542684727E-2</v>
      </c>
      <c r="P497" s="4">
        <f t="shared" si="68"/>
        <v>1.7723464195727248E-2</v>
      </c>
      <c r="Q497" s="4" t="s">
        <v>298</v>
      </c>
      <c r="R497" s="3" t="s">
        <v>352</v>
      </c>
      <c r="S497" s="3" t="s">
        <v>221</v>
      </c>
      <c r="T497" s="3" t="s">
        <v>8</v>
      </c>
      <c r="U497" s="3" t="s">
        <v>335</v>
      </c>
      <c r="V497" s="3" t="s">
        <v>332</v>
      </c>
      <c r="W497" s="3" t="s">
        <v>360</v>
      </c>
      <c r="X497" s="3" t="s">
        <v>147</v>
      </c>
      <c r="Y497" s="3" t="s">
        <v>363</v>
      </c>
      <c r="Z497" s="3" t="s">
        <v>363</v>
      </c>
      <c r="AA497" s="3">
        <v>3</v>
      </c>
      <c r="AB497" s="11" t="s">
        <v>397</v>
      </c>
    </row>
    <row r="498" spans="1:28">
      <c r="A498" s="3" t="s">
        <v>349</v>
      </c>
      <c r="B498" s="3" t="s">
        <v>348</v>
      </c>
      <c r="C498" s="3">
        <v>5</v>
      </c>
      <c r="D498" s="3" t="s">
        <v>350</v>
      </c>
      <c r="E498" s="3">
        <v>7</v>
      </c>
      <c r="F498" s="3">
        <v>2002</v>
      </c>
      <c r="G498" s="3">
        <v>36.702840000000002</v>
      </c>
      <c r="H498" s="3">
        <v>5</v>
      </c>
      <c r="I498" s="4">
        <f t="shared" si="71"/>
        <v>3.9885638941854631</v>
      </c>
      <c r="J498" s="4">
        <v>1.7837399999999946</v>
      </c>
      <c r="K498" s="3">
        <v>42.113480000000003</v>
      </c>
      <c r="L498" s="3">
        <v>5</v>
      </c>
      <c r="M498" s="4">
        <f t="shared" si="72"/>
        <v>5.883922193953615</v>
      </c>
      <c r="N498" s="4">
        <v>2.6313699999999969</v>
      </c>
      <c r="O498" s="4">
        <f t="shared" si="67"/>
        <v>0.13751374319949508</v>
      </c>
      <c r="P498" s="4">
        <f t="shared" si="68"/>
        <v>6.2660180583004477E-3</v>
      </c>
      <c r="Q498" s="4" t="s">
        <v>298</v>
      </c>
      <c r="R498" s="3" t="s">
        <v>352</v>
      </c>
      <c r="S498" s="3" t="s">
        <v>221</v>
      </c>
      <c r="T498" s="3" t="s">
        <v>8</v>
      </c>
      <c r="U498" s="3" t="s">
        <v>335</v>
      </c>
      <c r="V498" s="3" t="s">
        <v>332</v>
      </c>
      <c r="W498" s="3" t="s">
        <v>360</v>
      </c>
      <c r="X498" s="3" t="s">
        <v>147</v>
      </c>
      <c r="Y498" s="3" t="s">
        <v>363</v>
      </c>
      <c r="Z498" s="3" t="s">
        <v>363</v>
      </c>
      <c r="AA498" s="3">
        <v>6</v>
      </c>
      <c r="AB498" s="11" t="s">
        <v>397</v>
      </c>
    </row>
    <row r="499" spans="1:28">
      <c r="A499" s="3" t="s">
        <v>349</v>
      </c>
      <c r="B499" s="3" t="s">
        <v>348</v>
      </c>
      <c r="C499" s="3">
        <v>6</v>
      </c>
      <c r="D499" s="3" t="s">
        <v>350</v>
      </c>
      <c r="E499" s="3">
        <v>7</v>
      </c>
      <c r="F499" s="3">
        <v>2002</v>
      </c>
      <c r="G499" s="3">
        <v>21.300249999999998</v>
      </c>
      <c r="H499" s="3">
        <v>5</v>
      </c>
      <c r="I499" s="4">
        <f t="shared" si="71"/>
        <v>1.3911026101621746</v>
      </c>
      <c r="J499" s="4">
        <v>0.62212000000000245</v>
      </c>
      <c r="K499" s="3">
        <v>28.555479999999999</v>
      </c>
      <c r="L499" s="3">
        <v>5</v>
      </c>
      <c r="M499" s="4">
        <f t="shared" si="72"/>
        <v>2.8594390082671839</v>
      </c>
      <c r="N499" s="4">
        <v>1.2787800000000011</v>
      </c>
      <c r="O499" s="4">
        <f t="shared" si="67"/>
        <v>0.29313005190540092</v>
      </c>
      <c r="P499" s="4">
        <f t="shared" si="68"/>
        <v>2.8585128843507989E-3</v>
      </c>
      <c r="Q499" s="4" t="s">
        <v>298</v>
      </c>
      <c r="R499" s="3" t="s">
        <v>352</v>
      </c>
      <c r="S499" s="3" t="s">
        <v>221</v>
      </c>
      <c r="T499" s="3" t="s">
        <v>8</v>
      </c>
      <c r="U499" s="3" t="s">
        <v>335</v>
      </c>
      <c r="V499" s="3" t="s">
        <v>332</v>
      </c>
      <c r="W499" s="3" t="s">
        <v>360</v>
      </c>
      <c r="X499" s="3" t="s">
        <v>147</v>
      </c>
      <c r="Y499" s="3" t="s">
        <v>363</v>
      </c>
      <c r="Z499" s="3" t="s">
        <v>363</v>
      </c>
      <c r="AA499" s="3">
        <v>0</v>
      </c>
      <c r="AB499" s="11" t="s">
        <v>397</v>
      </c>
    </row>
    <row r="500" spans="1:28">
      <c r="A500" s="3" t="s">
        <v>349</v>
      </c>
      <c r="B500" s="3" t="s">
        <v>348</v>
      </c>
      <c r="C500" s="3">
        <v>7</v>
      </c>
      <c r="D500" s="3" t="s">
        <v>350</v>
      </c>
      <c r="E500" s="3">
        <v>7</v>
      </c>
      <c r="F500" s="3">
        <v>2002</v>
      </c>
      <c r="G500" s="3">
        <v>27.023569999999999</v>
      </c>
      <c r="H500" s="3">
        <v>5</v>
      </c>
      <c r="I500" s="4">
        <f t="shared" si="71"/>
        <v>4.4633705685277789</v>
      </c>
      <c r="J500" s="4">
        <v>1.9960799999999992</v>
      </c>
      <c r="K500" s="3">
        <v>34.0901</v>
      </c>
      <c r="L500" s="3">
        <v>5</v>
      </c>
      <c r="M500" s="4">
        <f t="shared" si="72"/>
        <v>5.6689242579170225</v>
      </c>
      <c r="N500" s="4">
        <v>2.5352200000000025</v>
      </c>
      <c r="O500" s="4">
        <f t="shared" si="67"/>
        <v>0.23229757140033605</v>
      </c>
      <c r="P500" s="4">
        <f t="shared" si="68"/>
        <v>1.0986582667587013E-2</v>
      </c>
      <c r="Q500" s="4" t="s">
        <v>298</v>
      </c>
      <c r="R500" s="3" t="s">
        <v>352</v>
      </c>
      <c r="S500" s="3" t="s">
        <v>221</v>
      </c>
      <c r="T500" s="3" t="s">
        <v>8</v>
      </c>
      <c r="U500" s="3" t="s">
        <v>335</v>
      </c>
      <c r="V500" s="3" t="s">
        <v>332</v>
      </c>
      <c r="W500" s="3" t="s">
        <v>360</v>
      </c>
      <c r="X500" s="3" t="s">
        <v>147</v>
      </c>
      <c r="Y500" s="3" t="s">
        <v>363</v>
      </c>
      <c r="Z500" s="3" t="s">
        <v>363</v>
      </c>
      <c r="AA500" s="3">
        <v>3</v>
      </c>
      <c r="AB500" s="11" t="s">
        <v>397</v>
      </c>
    </row>
    <row r="501" spans="1:28">
      <c r="A501" s="3" t="s">
        <v>349</v>
      </c>
      <c r="B501" s="3" t="s">
        <v>348</v>
      </c>
      <c r="C501" s="3">
        <v>8</v>
      </c>
      <c r="D501" s="3" t="s">
        <v>350</v>
      </c>
      <c r="E501" s="3">
        <v>7</v>
      </c>
      <c r="F501" s="3">
        <v>2002</v>
      </c>
      <c r="G501" s="3">
        <v>31.380490000000002</v>
      </c>
      <c r="H501" s="3">
        <v>5</v>
      </c>
      <c r="I501" s="4">
        <f t="shared" si="71"/>
        <v>3.5413279380057325</v>
      </c>
      <c r="J501" s="4">
        <v>1.5837299999999956</v>
      </c>
      <c r="K501" s="3">
        <v>36.691870000000002</v>
      </c>
      <c r="L501" s="3">
        <v>5</v>
      </c>
      <c r="M501" s="4">
        <f t="shared" si="72"/>
        <v>2.5571002570294277</v>
      </c>
      <c r="N501" s="4">
        <v>1.1435699999999969</v>
      </c>
      <c r="O501" s="4">
        <f t="shared" si="67"/>
        <v>0.156368842410082</v>
      </c>
      <c r="P501" s="4">
        <f t="shared" si="68"/>
        <v>3.5184540480367086E-3</v>
      </c>
      <c r="Q501" s="4" t="s">
        <v>298</v>
      </c>
      <c r="R501" s="3" t="s">
        <v>352</v>
      </c>
      <c r="S501" s="3" t="s">
        <v>221</v>
      </c>
      <c r="T501" s="3" t="s">
        <v>8</v>
      </c>
      <c r="U501" s="3" t="s">
        <v>335</v>
      </c>
      <c r="V501" s="3" t="s">
        <v>332</v>
      </c>
      <c r="W501" s="3" t="s">
        <v>360</v>
      </c>
      <c r="X501" s="3" t="s">
        <v>147</v>
      </c>
      <c r="Y501" s="3" t="s">
        <v>363</v>
      </c>
      <c r="Z501" s="3" t="s">
        <v>363</v>
      </c>
      <c r="AA501" s="3">
        <v>6</v>
      </c>
      <c r="AB501" s="11" t="s">
        <v>397</v>
      </c>
    </row>
    <row r="502" spans="1:28">
      <c r="A502" s="3" t="s">
        <v>354</v>
      </c>
      <c r="B502" s="3" t="s">
        <v>353</v>
      </c>
      <c r="C502" s="3">
        <v>1</v>
      </c>
      <c r="D502" s="3" t="s">
        <v>157</v>
      </c>
      <c r="E502" s="3">
        <v>4.0999999999999996</v>
      </c>
      <c r="F502" s="3">
        <v>2022</v>
      </c>
      <c r="G502" s="4">
        <v>1.1599999999999999</v>
      </c>
      <c r="H502" s="3">
        <v>10</v>
      </c>
      <c r="I502" s="4">
        <v>0.52</v>
      </c>
      <c r="J502" s="4">
        <f>I502 / SQRT(H502)</f>
        <v>0.16443843832875571</v>
      </c>
      <c r="K502" s="4">
        <v>0.92</v>
      </c>
      <c r="L502" s="3">
        <v>10</v>
      </c>
      <c r="M502" s="4">
        <v>0.61</v>
      </c>
      <c r="N502" s="4">
        <f t="shared" ref="N502:N509" si="73">M502 / SQRT(L502)</f>
        <v>0.19289893727027113</v>
      </c>
      <c r="O502" s="4">
        <f t="shared" si="67"/>
        <v>-0.23180161405732416</v>
      </c>
      <c r="P502" s="4">
        <f t="shared" si="68"/>
        <v>6.4057790257794636E-2</v>
      </c>
      <c r="Q502" s="4" t="s">
        <v>291</v>
      </c>
      <c r="R502" s="3" t="s">
        <v>355</v>
      </c>
      <c r="S502" s="3" t="s">
        <v>221</v>
      </c>
      <c r="T502" s="3" t="s">
        <v>8</v>
      </c>
      <c r="U502" s="3" t="s">
        <v>335</v>
      </c>
      <c r="V502" s="3" t="s">
        <v>332</v>
      </c>
      <c r="W502" s="3" t="s">
        <v>112</v>
      </c>
      <c r="X502" s="3" t="s">
        <v>98</v>
      </c>
      <c r="Y502" s="3" t="s">
        <v>363</v>
      </c>
      <c r="Z502" s="3">
        <v>5</v>
      </c>
      <c r="AA502" s="3">
        <v>10</v>
      </c>
      <c r="AB502" s="11" t="s">
        <v>397</v>
      </c>
    </row>
    <row r="503" spans="1:28">
      <c r="A503" s="3" t="s">
        <v>354</v>
      </c>
      <c r="B503" s="3" t="s">
        <v>353</v>
      </c>
      <c r="C503" s="3">
        <v>2</v>
      </c>
      <c r="D503" s="3" t="s">
        <v>157</v>
      </c>
      <c r="E503" s="3">
        <v>4.0999999999999996</v>
      </c>
      <c r="F503" s="3">
        <v>2022</v>
      </c>
      <c r="G503" s="4">
        <v>1.1599999999999999</v>
      </c>
      <c r="H503" s="3">
        <v>10</v>
      </c>
      <c r="I503" s="4">
        <v>0.52</v>
      </c>
      <c r="J503" s="4">
        <f t="shared" ref="J503:J509" si="74">I503 / SQRT(H503)</f>
        <v>0.16443843832875571</v>
      </c>
      <c r="K503" s="4">
        <v>1.58</v>
      </c>
      <c r="L503" s="3">
        <v>10</v>
      </c>
      <c r="M503" s="4">
        <v>0.82</v>
      </c>
      <c r="N503" s="4">
        <f t="shared" si="73"/>
        <v>0.2593067681338071</v>
      </c>
      <c r="O503" s="4">
        <f t="shared" si="67"/>
        <v>0.30900484192060229</v>
      </c>
      <c r="P503" s="4">
        <f t="shared" si="68"/>
        <v>4.7029910943339852E-2</v>
      </c>
      <c r="Q503" s="4" t="s">
        <v>291</v>
      </c>
      <c r="R503" s="3" t="s">
        <v>355</v>
      </c>
      <c r="S503" s="3" t="s">
        <v>221</v>
      </c>
      <c r="T503" s="3" t="s">
        <v>8</v>
      </c>
      <c r="U503" s="3" t="s">
        <v>335</v>
      </c>
      <c r="V503" s="3" t="s">
        <v>332</v>
      </c>
      <c r="W503" s="3" t="s">
        <v>360</v>
      </c>
      <c r="X503" s="3" t="s">
        <v>147</v>
      </c>
      <c r="Y503" s="3" t="s">
        <v>363</v>
      </c>
      <c r="Z503" s="3" t="s">
        <v>363</v>
      </c>
      <c r="AA503" s="3">
        <v>10</v>
      </c>
      <c r="AB503" s="11" t="s">
        <v>397</v>
      </c>
    </row>
    <row r="504" spans="1:28">
      <c r="A504" s="3" t="s">
        <v>354</v>
      </c>
      <c r="B504" s="3" t="s">
        <v>353</v>
      </c>
      <c r="C504" s="3">
        <v>3</v>
      </c>
      <c r="D504" s="3" t="s">
        <v>157</v>
      </c>
      <c r="E504" s="3">
        <v>4.0999999999999996</v>
      </c>
      <c r="F504" s="3">
        <v>2022</v>
      </c>
      <c r="G504" s="4">
        <v>3.33</v>
      </c>
      <c r="H504" s="3">
        <v>10</v>
      </c>
      <c r="I504" s="4">
        <v>1.88</v>
      </c>
      <c r="J504" s="4">
        <f t="shared" si="74"/>
        <v>0.59450820011165528</v>
      </c>
      <c r="K504" s="4">
        <v>3.36</v>
      </c>
      <c r="L504" s="3">
        <v>10</v>
      </c>
      <c r="M504" s="4">
        <v>2.34</v>
      </c>
      <c r="N504" s="4">
        <f t="shared" si="73"/>
        <v>0.73997297247940064</v>
      </c>
      <c r="O504" s="4">
        <f t="shared" si="67"/>
        <v>8.9686699827603161E-3</v>
      </c>
      <c r="P504" s="4">
        <f t="shared" si="68"/>
        <v>8.0374590266401702E-2</v>
      </c>
      <c r="Q504" s="4" t="s">
        <v>291</v>
      </c>
      <c r="R504" s="3" t="s">
        <v>356</v>
      </c>
      <c r="S504" s="3" t="s">
        <v>221</v>
      </c>
      <c r="T504" s="3" t="s">
        <v>8</v>
      </c>
      <c r="U504" s="3" t="s">
        <v>335</v>
      </c>
      <c r="V504" s="3" t="s">
        <v>332</v>
      </c>
      <c r="W504" s="3" t="s">
        <v>112</v>
      </c>
      <c r="X504" s="3" t="s">
        <v>98</v>
      </c>
      <c r="Y504" s="3" t="s">
        <v>363</v>
      </c>
      <c r="Z504" s="3">
        <v>5</v>
      </c>
      <c r="AA504" s="3">
        <v>10</v>
      </c>
      <c r="AB504" s="11" t="s">
        <v>397</v>
      </c>
    </row>
    <row r="505" spans="1:28">
      <c r="A505" s="3" t="s">
        <v>354</v>
      </c>
      <c r="B505" s="3" t="s">
        <v>353</v>
      </c>
      <c r="C505" s="3">
        <v>4</v>
      </c>
      <c r="D505" s="3" t="s">
        <v>157</v>
      </c>
      <c r="E505" s="3">
        <v>4.0999999999999996</v>
      </c>
      <c r="F505" s="3">
        <v>2022</v>
      </c>
      <c r="G505" s="4">
        <v>3.33</v>
      </c>
      <c r="H505" s="3">
        <v>10</v>
      </c>
      <c r="I505" s="4">
        <v>1.88</v>
      </c>
      <c r="J505" s="4">
        <f t="shared" si="74"/>
        <v>0.59450820011165528</v>
      </c>
      <c r="K505" s="4">
        <v>2.58</v>
      </c>
      <c r="L505" s="3">
        <v>10</v>
      </c>
      <c r="M505" s="4">
        <v>1.75</v>
      </c>
      <c r="N505" s="4">
        <f t="shared" si="73"/>
        <v>0.55339859052946638</v>
      </c>
      <c r="O505" s="4">
        <f t="shared" si="67"/>
        <v>-0.25518290505882646</v>
      </c>
      <c r="P505" s="4">
        <f t="shared" si="68"/>
        <v>7.788166761960727E-2</v>
      </c>
      <c r="Q505" s="4" t="s">
        <v>291</v>
      </c>
      <c r="R505" s="3" t="s">
        <v>356</v>
      </c>
      <c r="S505" s="3" t="s">
        <v>221</v>
      </c>
      <c r="T505" s="3" t="s">
        <v>8</v>
      </c>
      <c r="U505" s="3" t="s">
        <v>335</v>
      </c>
      <c r="V505" s="3" t="s">
        <v>332</v>
      </c>
      <c r="W505" s="3" t="s">
        <v>360</v>
      </c>
      <c r="X505" s="3" t="s">
        <v>147</v>
      </c>
      <c r="Y505" s="3" t="s">
        <v>363</v>
      </c>
      <c r="Z505" s="3" t="s">
        <v>363</v>
      </c>
      <c r="AA505" s="3">
        <v>10</v>
      </c>
      <c r="AB505" s="11" t="s">
        <v>397</v>
      </c>
    </row>
    <row r="506" spans="1:28">
      <c r="A506" s="3" t="s">
        <v>354</v>
      </c>
      <c r="B506" s="3" t="s">
        <v>353</v>
      </c>
      <c r="C506" s="3">
        <v>5</v>
      </c>
      <c r="D506" s="3" t="s">
        <v>157</v>
      </c>
      <c r="E506" s="3">
        <v>4.0999999999999996</v>
      </c>
      <c r="F506" s="3">
        <v>2022</v>
      </c>
      <c r="G506" s="4">
        <v>1.42</v>
      </c>
      <c r="H506" s="3">
        <v>10</v>
      </c>
      <c r="I506" s="4">
        <v>0.77</v>
      </c>
      <c r="J506" s="4">
        <f t="shared" si="74"/>
        <v>0.24349537983296521</v>
      </c>
      <c r="K506" s="4">
        <v>1.68</v>
      </c>
      <c r="L506" s="3">
        <v>10</v>
      </c>
      <c r="M506" s="3">
        <v>0.83</v>
      </c>
      <c r="N506" s="4">
        <f t="shared" si="73"/>
        <v>0.26246904579397545</v>
      </c>
      <c r="O506" s="4">
        <f t="shared" si="67"/>
        <v>0.16813692180199818</v>
      </c>
      <c r="P506" s="4">
        <f t="shared" si="68"/>
        <v>5.3812193106099152E-2</v>
      </c>
      <c r="Q506" s="4" t="s">
        <v>291</v>
      </c>
      <c r="R506" s="3" t="s">
        <v>362</v>
      </c>
      <c r="S506" s="3" t="s">
        <v>221</v>
      </c>
      <c r="T506" s="3" t="s">
        <v>134</v>
      </c>
      <c r="U506" s="3" t="s">
        <v>335</v>
      </c>
      <c r="V506" s="3" t="s">
        <v>332</v>
      </c>
      <c r="W506" s="3" t="s">
        <v>112</v>
      </c>
      <c r="X506" s="3" t="s">
        <v>98</v>
      </c>
      <c r="Y506" s="3" t="s">
        <v>363</v>
      </c>
      <c r="Z506" s="3">
        <v>5</v>
      </c>
      <c r="AA506" s="3">
        <v>10</v>
      </c>
      <c r="AB506" s="11" t="s">
        <v>397</v>
      </c>
    </row>
    <row r="507" spans="1:28">
      <c r="A507" s="3" t="s">
        <v>354</v>
      </c>
      <c r="B507" s="3" t="s">
        <v>353</v>
      </c>
      <c r="C507" s="3">
        <v>6</v>
      </c>
      <c r="D507" s="3" t="s">
        <v>157</v>
      </c>
      <c r="E507" s="3">
        <v>4.0999999999999996</v>
      </c>
      <c r="F507" s="3">
        <v>2022</v>
      </c>
      <c r="G507" s="4">
        <v>1.42</v>
      </c>
      <c r="H507" s="3">
        <v>10</v>
      </c>
      <c r="I507" s="4">
        <v>0.77</v>
      </c>
      <c r="J507" s="4">
        <f t="shared" si="74"/>
        <v>0.24349537983296521</v>
      </c>
      <c r="K507" s="4">
        <v>1.67</v>
      </c>
      <c r="L507" s="3">
        <v>10</v>
      </c>
      <c r="M507" s="4">
        <v>0.92</v>
      </c>
      <c r="N507" s="4">
        <f t="shared" si="73"/>
        <v>0.29092954473549087</v>
      </c>
      <c r="O507" s="4">
        <f t="shared" si="67"/>
        <v>0.16216675481549436</v>
      </c>
      <c r="P507" s="4">
        <f t="shared" si="68"/>
        <v>5.9752771189616014E-2</v>
      </c>
      <c r="Q507" s="4" t="s">
        <v>291</v>
      </c>
      <c r="R507" s="3" t="s">
        <v>355</v>
      </c>
      <c r="S507" s="3" t="s">
        <v>221</v>
      </c>
      <c r="T507" s="3" t="s">
        <v>134</v>
      </c>
      <c r="U507" s="3" t="s">
        <v>335</v>
      </c>
      <c r="V507" s="3" t="s">
        <v>332</v>
      </c>
      <c r="W507" s="3" t="s">
        <v>360</v>
      </c>
      <c r="X507" s="3" t="s">
        <v>147</v>
      </c>
      <c r="Y507" s="3" t="s">
        <v>363</v>
      </c>
      <c r="Z507" s="3" t="s">
        <v>363</v>
      </c>
      <c r="AA507" s="3">
        <v>10</v>
      </c>
      <c r="AB507" s="11" t="s">
        <v>397</v>
      </c>
    </row>
    <row r="508" spans="1:28">
      <c r="A508" s="3" t="s">
        <v>354</v>
      </c>
      <c r="B508" s="3" t="s">
        <v>353</v>
      </c>
      <c r="C508" s="3">
        <v>7</v>
      </c>
      <c r="D508" s="3" t="s">
        <v>157</v>
      </c>
      <c r="E508" s="3">
        <v>4.0999999999999996</v>
      </c>
      <c r="F508" s="3">
        <v>2022</v>
      </c>
      <c r="G508" s="4">
        <v>3.29</v>
      </c>
      <c r="H508" s="3">
        <v>10</v>
      </c>
      <c r="I508" s="4">
        <v>0.81</v>
      </c>
      <c r="J508" s="4">
        <f t="shared" si="74"/>
        <v>0.25614449047363874</v>
      </c>
      <c r="K508" s="4">
        <v>3.27</v>
      </c>
      <c r="L508" s="3">
        <v>10</v>
      </c>
      <c r="M508" s="4">
        <v>0.8</v>
      </c>
      <c r="N508" s="4">
        <f t="shared" si="73"/>
        <v>0.25298221281347033</v>
      </c>
      <c r="O508" s="4">
        <f t="shared" si="67"/>
        <v>-6.0975798681185567E-3</v>
      </c>
      <c r="P508" s="4">
        <f t="shared" si="68"/>
        <v>1.2046753885285416E-2</v>
      </c>
      <c r="Q508" s="4" t="s">
        <v>291</v>
      </c>
      <c r="R508" s="3" t="s">
        <v>356</v>
      </c>
      <c r="S508" s="3" t="s">
        <v>221</v>
      </c>
      <c r="T508" s="3" t="s">
        <v>134</v>
      </c>
      <c r="U508" s="3" t="s">
        <v>335</v>
      </c>
      <c r="V508" s="3" t="s">
        <v>332</v>
      </c>
      <c r="W508" s="3" t="s">
        <v>112</v>
      </c>
      <c r="X508" s="3" t="s">
        <v>98</v>
      </c>
      <c r="Y508" s="3" t="s">
        <v>363</v>
      </c>
      <c r="Z508" s="3">
        <v>5</v>
      </c>
      <c r="AA508" s="3">
        <v>10</v>
      </c>
      <c r="AB508" s="11" t="s">
        <v>397</v>
      </c>
    </row>
    <row r="509" spans="1:28">
      <c r="A509" s="3" t="s">
        <v>354</v>
      </c>
      <c r="B509" s="3" t="s">
        <v>353</v>
      </c>
      <c r="C509" s="3">
        <v>8</v>
      </c>
      <c r="D509" s="3" t="s">
        <v>157</v>
      </c>
      <c r="E509" s="3">
        <v>4.0999999999999996</v>
      </c>
      <c r="F509" s="3">
        <v>2022</v>
      </c>
      <c r="G509" s="4">
        <v>3.29</v>
      </c>
      <c r="H509" s="3">
        <v>10</v>
      </c>
      <c r="I509" s="4">
        <v>0.81</v>
      </c>
      <c r="J509" s="4">
        <f t="shared" si="74"/>
        <v>0.25614449047363874</v>
      </c>
      <c r="K509" s="4">
        <v>2.61</v>
      </c>
      <c r="L509" s="3">
        <v>10</v>
      </c>
      <c r="M509" s="4">
        <v>0.72</v>
      </c>
      <c r="N509" s="4">
        <f t="shared" si="73"/>
        <v>0.22768399153212329</v>
      </c>
      <c r="O509" s="4">
        <f t="shared" si="67"/>
        <v>-0.23153734344267851</v>
      </c>
      <c r="P509" s="4">
        <f t="shared" si="68"/>
        <v>1.3671462042561235E-2</v>
      </c>
      <c r="Q509" s="4" t="s">
        <v>291</v>
      </c>
      <c r="R509" s="3" t="s">
        <v>356</v>
      </c>
      <c r="S509" s="3" t="s">
        <v>221</v>
      </c>
      <c r="T509" s="3" t="s">
        <v>134</v>
      </c>
      <c r="U509" s="3" t="s">
        <v>335</v>
      </c>
      <c r="V509" s="3" t="s">
        <v>332</v>
      </c>
      <c r="W509" s="3" t="s">
        <v>360</v>
      </c>
      <c r="X509" s="3" t="s">
        <v>147</v>
      </c>
      <c r="Y509" s="3" t="s">
        <v>363</v>
      </c>
      <c r="Z509" s="3" t="s">
        <v>363</v>
      </c>
      <c r="AA509" s="3">
        <v>10</v>
      </c>
      <c r="AB509" s="11" t="s">
        <v>397</v>
      </c>
    </row>
    <row r="510" spans="1:28">
      <c r="A510" s="3" t="s">
        <v>377</v>
      </c>
      <c r="B510" s="3" t="s">
        <v>357</v>
      </c>
      <c r="C510" s="3">
        <v>1</v>
      </c>
      <c r="D510" s="3" t="s">
        <v>358</v>
      </c>
      <c r="E510" s="3">
        <v>49.7</v>
      </c>
      <c r="F510" s="3">
        <v>1982</v>
      </c>
      <c r="G510" s="4">
        <v>23.3</v>
      </c>
      <c r="H510" s="3">
        <v>10</v>
      </c>
      <c r="I510" s="4">
        <f t="shared" ref="I510:I514" si="75" xml:space="preserve"> J510 * SQRT(H510)</f>
        <v>3.1622776601683795</v>
      </c>
      <c r="J510" s="4">
        <v>1</v>
      </c>
      <c r="K510" s="4">
        <v>23.36</v>
      </c>
      <c r="L510" s="3">
        <v>9</v>
      </c>
      <c r="M510" s="4">
        <f t="shared" ref="M510:M514" si="76" xml:space="preserve"> N510 * SQRT(L510)</f>
        <v>2.7</v>
      </c>
      <c r="N510" s="4">
        <v>0.9</v>
      </c>
      <c r="O510" s="4">
        <f t="shared" si="67"/>
        <v>2.57179738837139E-3</v>
      </c>
      <c r="P510" s="4">
        <f t="shared" si="68"/>
        <v>3.3263541137120113E-3</v>
      </c>
      <c r="Q510" s="4" t="s">
        <v>292</v>
      </c>
      <c r="R510" s="3" t="s">
        <v>359</v>
      </c>
      <c r="S510" s="3" t="s">
        <v>221</v>
      </c>
      <c r="T510" s="3" t="s">
        <v>134</v>
      </c>
      <c r="U510" s="3" t="s">
        <v>337</v>
      </c>
      <c r="V510" s="3" t="s">
        <v>332</v>
      </c>
      <c r="W510" s="3" t="s">
        <v>112</v>
      </c>
      <c r="X510" s="3" t="s">
        <v>98</v>
      </c>
      <c r="Y510" s="3" t="s">
        <v>363</v>
      </c>
      <c r="Z510" s="3" t="s">
        <v>363</v>
      </c>
      <c r="AA510" s="3" t="s">
        <v>363</v>
      </c>
      <c r="AB510" s="11" t="s">
        <v>397</v>
      </c>
    </row>
    <row r="511" spans="1:28">
      <c r="A511" s="3" t="s">
        <v>377</v>
      </c>
      <c r="B511" s="3" t="s">
        <v>357</v>
      </c>
      <c r="C511" s="3">
        <v>2</v>
      </c>
      <c r="D511" s="3" t="s">
        <v>358</v>
      </c>
      <c r="E511" s="3">
        <v>49.7</v>
      </c>
      <c r="F511" s="3">
        <v>1982</v>
      </c>
      <c r="G511" s="4">
        <v>27.05</v>
      </c>
      <c r="H511" s="3">
        <v>10</v>
      </c>
      <c r="I511" s="4">
        <f t="shared" si="75"/>
        <v>4.4271887242357311</v>
      </c>
      <c r="J511" s="4">
        <v>1.4</v>
      </c>
      <c r="K511" s="4">
        <v>19.54</v>
      </c>
      <c r="L511" s="3">
        <v>9</v>
      </c>
      <c r="M511" s="4">
        <f t="shared" si="76"/>
        <v>2.7</v>
      </c>
      <c r="N511" s="4">
        <v>0.9</v>
      </c>
      <c r="O511" s="4">
        <f t="shared" si="67"/>
        <v>-0.3252233586778539</v>
      </c>
      <c r="P511" s="4">
        <f t="shared" si="68"/>
        <v>4.8001494427850414E-3</v>
      </c>
      <c r="Q511" s="4" t="s">
        <v>292</v>
      </c>
      <c r="R511" s="3" t="s">
        <v>359</v>
      </c>
      <c r="S511" s="3" t="s">
        <v>221</v>
      </c>
      <c r="T511" s="3" t="s">
        <v>134</v>
      </c>
      <c r="U511" s="3" t="s">
        <v>337</v>
      </c>
      <c r="V511" s="3" t="s">
        <v>332</v>
      </c>
      <c r="W511" s="3" t="s">
        <v>112</v>
      </c>
      <c r="X511" s="3" t="s">
        <v>98</v>
      </c>
      <c r="Y511" s="3" t="s">
        <v>363</v>
      </c>
      <c r="Z511" s="3" t="s">
        <v>363</v>
      </c>
      <c r="AA511" s="3" t="s">
        <v>363</v>
      </c>
      <c r="AB511" s="11" t="s">
        <v>397</v>
      </c>
    </row>
    <row r="512" spans="1:28">
      <c r="A512" s="3" t="s">
        <v>377</v>
      </c>
      <c r="B512" s="3" t="s">
        <v>357</v>
      </c>
      <c r="C512" s="3">
        <v>3</v>
      </c>
      <c r="D512" s="3" t="s">
        <v>358</v>
      </c>
      <c r="E512" s="3">
        <v>49.7</v>
      </c>
      <c r="F512" s="3">
        <v>1982</v>
      </c>
      <c r="G512" s="4">
        <v>27.05</v>
      </c>
      <c r="H512" s="3">
        <v>10</v>
      </c>
      <c r="I512" s="4">
        <f t="shared" si="75"/>
        <v>4.4271887242357311</v>
      </c>
      <c r="J512" s="4">
        <v>1.4</v>
      </c>
      <c r="K512" s="4">
        <v>59.74</v>
      </c>
      <c r="L512" s="3">
        <v>9</v>
      </c>
      <c r="M512" s="4">
        <f t="shared" si="76"/>
        <v>14.100000000000001</v>
      </c>
      <c r="N512" s="4">
        <v>4.7</v>
      </c>
      <c r="O512" s="4">
        <f t="shared" si="67"/>
        <v>0.79231480749547312</v>
      </c>
      <c r="P512" s="4">
        <f t="shared" si="68"/>
        <v>8.8683227177368418E-3</v>
      </c>
      <c r="Q512" s="4" t="s">
        <v>292</v>
      </c>
      <c r="R512" s="3" t="s">
        <v>359</v>
      </c>
      <c r="S512" s="3" t="s">
        <v>221</v>
      </c>
      <c r="T512" s="3" t="s">
        <v>134</v>
      </c>
      <c r="U512" s="3" t="s">
        <v>337</v>
      </c>
      <c r="V512" s="3" t="s">
        <v>333</v>
      </c>
      <c r="W512" s="3" t="s">
        <v>112</v>
      </c>
      <c r="X512" s="3" t="s">
        <v>98</v>
      </c>
      <c r="Y512" s="3" t="s">
        <v>363</v>
      </c>
      <c r="Z512" s="3" t="s">
        <v>363</v>
      </c>
      <c r="AA512" s="3" t="s">
        <v>363</v>
      </c>
      <c r="AB512" s="11" t="s">
        <v>397</v>
      </c>
    </row>
    <row r="513" spans="1:28">
      <c r="A513" s="3" t="s">
        <v>377</v>
      </c>
      <c r="B513" s="3" t="s">
        <v>357</v>
      </c>
      <c r="C513" s="3">
        <v>4</v>
      </c>
      <c r="D513" s="3" t="s">
        <v>358</v>
      </c>
      <c r="E513" s="3">
        <v>49.7</v>
      </c>
      <c r="F513" s="3">
        <v>1982</v>
      </c>
      <c r="G513" s="4">
        <v>0.25</v>
      </c>
      <c r="H513" s="3">
        <v>10</v>
      </c>
      <c r="I513" s="4">
        <f t="shared" si="75"/>
        <v>0.316227766016838</v>
      </c>
      <c r="J513" s="4">
        <v>0.1</v>
      </c>
      <c r="K513" s="4">
        <v>0.32</v>
      </c>
      <c r="L513" s="3">
        <v>9</v>
      </c>
      <c r="M513" s="4">
        <f t="shared" si="76"/>
        <v>0.30000000000000004</v>
      </c>
      <c r="N513" s="4">
        <v>0.1</v>
      </c>
      <c r="O513" s="4">
        <f t="shared" si="67"/>
        <v>0.24686007793152581</v>
      </c>
      <c r="P513" s="4">
        <f t="shared" si="68"/>
        <v>0.25765625000000009</v>
      </c>
      <c r="Q513" s="4" t="s">
        <v>292</v>
      </c>
      <c r="R513" s="3" t="s">
        <v>359</v>
      </c>
      <c r="S513" s="3" t="s">
        <v>221</v>
      </c>
      <c r="T513" s="3" t="s">
        <v>8</v>
      </c>
      <c r="U513" s="3" t="s">
        <v>337</v>
      </c>
      <c r="V513" s="3" t="s">
        <v>332</v>
      </c>
      <c r="W513" s="3" t="s">
        <v>112</v>
      </c>
      <c r="X513" s="3" t="s">
        <v>98</v>
      </c>
      <c r="Y513" s="3" t="s">
        <v>363</v>
      </c>
      <c r="Z513" s="3" t="s">
        <v>363</v>
      </c>
      <c r="AA513" s="3" t="s">
        <v>363</v>
      </c>
      <c r="AB513" s="11" t="s">
        <v>397</v>
      </c>
    </row>
    <row r="514" spans="1:28">
      <c r="A514" s="3" t="s">
        <v>377</v>
      </c>
      <c r="B514" s="3" t="s">
        <v>357</v>
      </c>
      <c r="C514" s="3">
        <v>5</v>
      </c>
      <c r="D514" s="3" t="s">
        <v>358</v>
      </c>
      <c r="E514" s="3">
        <v>49.7</v>
      </c>
      <c r="F514" s="3">
        <v>1982</v>
      </c>
      <c r="G514" s="4">
        <v>1.02</v>
      </c>
      <c r="H514" s="3">
        <v>10</v>
      </c>
      <c r="I514" s="4">
        <f t="shared" si="75"/>
        <v>0.63245553203367599</v>
      </c>
      <c r="J514" s="4">
        <v>0.2</v>
      </c>
      <c r="K514" s="4">
        <v>0.54</v>
      </c>
      <c r="L514" s="3">
        <v>9</v>
      </c>
      <c r="M514" s="4">
        <f t="shared" si="76"/>
        <v>0.30000000000000004</v>
      </c>
      <c r="N514" s="4">
        <v>0.1</v>
      </c>
      <c r="O514" s="4">
        <f t="shared" si="67"/>
        <v>-0.63598876671999671</v>
      </c>
      <c r="P514" s="4">
        <f t="shared" si="68"/>
        <v>7.2740304061590766E-2</v>
      </c>
      <c r="Q514" s="4" t="s">
        <v>292</v>
      </c>
      <c r="R514" s="3" t="s">
        <v>359</v>
      </c>
      <c r="S514" s="3" t="s">
        <v>221</v>
      </c>
      <c r="T514" s="3" t="s">
        <v>8</v>
      </c>
      <c r="U514" s="3" t="s">
        <v>337</v>
      </c>
      <c r="V514" s="3" t="s">
        <v>332</v>
      </c>
      <c r="W514" s="3" t="s">
        <v>112</v>
      </c>
      <c r="X514" s="3" t="s">
        <v>98</v>
      </c>
      <c r="Y514" s="3" t="s">
        <v>363</v>
      </c>
      <c r="Z514" s="3" t="s">
        <v>363</v>
      </c>
      <c r="AA514" s="3" t="s">
        <v>363</v>
      </c>
      <c r="AB514" s="11" t="s">
        <v>397</v>
      </c>
    </row>
  </sheetData>
  <phoneticPr fontId="1" type="noConversion"/>
  <hyperlinks>
    <hyperlink ref="D1" r:id="rId1" tooltip="Go to Aquatic Botany on ScienceDirect" display="https://www.sciencedirect.com/journal/aquatic-botany" xr:uid="{E275F7F5-00BD-FC4F-AE46-86203A66F3C9}"/>
    <hyperlink ref="A473" r:id="rId2" display="https://link.springer.com/article/10.1007/s10886-012-0115-9" xr:uid="{C8A867EC-D45A-4546-A8C3-794B569CD7A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Yaolin</dc:creator>
  <cp:lastModifiedBy>Yaolin Guo</cp:lastModifiedBy>
  <dcterms:created xsi:type="dcterms:W3CDTF">2024-12-04T21:35:30Z</dcterms:created>
  <dcterms:modified xsi:type="dcterms:W3CDTF">2026-02-12T00:58:11Z</dcterms:modified>
</cp:coreProperties>
</file>